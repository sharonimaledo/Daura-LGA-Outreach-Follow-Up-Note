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628F9BB-F3B0-4F97-93A5-A9A2D759310E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Comparison" sheetId="1" r:id="rId1"/>
    <sheet name="Notes" sheetId="2" r:id="rId2"/>
    <sheet name="Attendees" sheetId="3" r:id="rId3"/>
    <sheet name="NonAttendees" sheetId="4" r:id="rId4"/>
    <sheet name="Staf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6" i="1" l="1"/>
  <c r="B165" i="1"/>
  <c r="B164" i="1"/>
  <c r="B163" i="1"/>
  <c r="B162" i="1"/>
  <c r="B161" i="1"/>
  <c r="B160" i="1"/>
  <c r="D152" i="1"/>
  <c r="E152" i="1" s="1"/>
  <c r="C152" i="1"/>
  <c r="B152" i="1"/>
  <c r="D151" i="1"/>
  <c r="E151" i="1" s="1"/>
  <c r="C151" i="1"/>
  <c r="B151" i="1"/>
  <c r="D150" i="1"/>
  <c r="E150" i="1" s="1"/>
  <c r="C150" i="1"/>
  <c r="B150" i="1"/>
  <c r="D148" i="1"/>
  <c r="E148" i="1" s="1"/>
  <c r="C148" i="1"/>
  <c r="B148" i="1"/>
  <c r="D147" i="1"/>
  <c r="E147" i="1" s="1"/>
  <c r="C147" i="1"/>
  <c r="B147" i="1"/>
  <c r="D146" i="1"/>
  <c r="E146" i="1" s="1"/>
  <c r="C146" i="1"/>
  <c r="B146" i="1"/>
  <c r="D145" i="1"/>
  <c r="E145" i="1" s="1"/>
  <c r="C145" i="1"/>
  <c r="B145" i="1"/>
  <c r="D143" i="1"/>
  <c r="E143" i="1" s="1"/>
  <c r="C143" i="1"/>
  <c r="B143" i="1"/>
  <c r="D142" i="1"/>
  <c r="E142" i="1" s="1"/>
  <c r="C142" i="1"/>
  <c r="B142" i="1"/>
  <c r="D141" i="1"/>
  <c r="E141" i="1" s="1"/>
  <c r="C141" i="1"/>
  <c r="B141" i="1"/>
  <c r="D140" i="1"/>
  <c r="E140" i="1" s="1"/>
  <c r="C140" i="1"/>
  <c r="B140" i="1"/>
  <c r="D139" i="1"/>
  <c r="E139" i="1" s="1"/>
  <c r="C139" i="1"/>
  <c r="B139" i="1"/>
  <c r="D138" i="1"/>
  <c r="E138" i="1" s="1"/>
  <c r="C138" i="1"/>
  <c r="B138" i="1"/>
  <c r="D137" i="1"/>
  <c r="E137" i="1" s="1"/>
  <c r="C137" i="1"/>
  <c r="B137" i="1"/>
  <c r="D136" i="1"/>
  <c r="E136" i="1" s="1"/>
  <c r="C136" i="1"/>
  <c r="B136" i="1"/>
  <c r="D134" i="1"/>
  <c r="E134" i="1" s="1"/>
  <c r="C134" i="1"/>
  <c r="B134" i="1"/>
  <c r="D133" i="1"/>
  <c r="E133" i="1" s="1"/>
  <c r="C133" i="1"/>
  <c r="B133" i="1"/>
  <c r="D131" i="1"/>
  <c r="E131" i="1" s="1"/>
  <c r="C131" i="1"/>
  <c r="B131" i="1"/>
  <c r="D130" i="1"/>
  <c r="E130" i="1" s="1"/>
  <c r="C130" i="1"/>
  <c r="B130" i="1"/>
  <c r="B122" i="1"/>
  <c r="C121" i="1"/>
  <c r="C120" i="1"/>
  <c r="B120" i="1"/>
  <c r="B123" i="1" s="1"/>
  <c r="C119" i="1"/>
  <c r="B119" i="1"/>
  <c r="C118" i="1"/>
  <c r="B118" i="1"/>
  <c r="C117" i="1"/>
  <c r="B117" i="1"/>
  <c r="B121" i="1" s="1"/>
  <c r="D111" i="1"/>
  <c r="E111" i="1" s="1"/>
  <c r="C111" i="1"/>
  <c r="B111" i="1"/>
  <c r="D110" i="1"/>
  <c r="E110" i="1" s="1"/>
  <c r="C110" i="1"/>
  <c r="B110" i="1"/>
  <c r="D109" i="1"/>
  <c r="E109" i="1" s="1"/>
  <c r="C109" i="1"/>
  <c r="B109" i="1"/>
  <c r="D108" i="1"/>
  <c r="B108" i="1"/>
  <c r="D20" i="1" s="1"/>
  <c r="E104" i="1"/>
  <c r="D104" i="1"/>
  <c r="B104" i="1"/>
  <c r="C104" i="1" s="1"/>
  <c r="E103" i="1"/>
  <c r="D103" i="1"/>
  <c r="B103" i="1"/>
  <c r="C103" i="1" s="1"/>
  <c r="E102" i="1"/>
  <c r="D102" i="1"/>
  <c r="B102" i="1"/>
  <c r="C102" i="1" s="1"/>
  <c r="E96" i="1"/>
  <c r="B96" i="1"/>
  <c r="D95" i="1"/>
  <c r="E95" i="1" s="1"/>
  <c r="C95" i="1"/>
  <c r="D94" i="1"/>
  <c r="E94" i="1" s="1"/>
  <c r="C94" i="1"/>
  <c r="D93" i="1"/>
  <c r="B93" i="1"/>
  <c r="C93" i="1" s="1"/>
  <c r="D92" i="1"/>
  <c r="B92" i="1"/>
  <c r="C92" i="1" s="1"/>
  <c r="D91" i="1"/>
  <c r="B91" i="1"/>
  <c r="C91" i="1" s="1"/>
  <c r="D90" i="1"/>
  <c r="B90" i="1"/>
  <c r="C90" i="1" s="1"/>
  <c r="D89" i="1"/>
  <c r="B89" i="1"/>
  <c r="B16" i="1" s="1"/>
  <c r="B88" i="1"/>
  <c r="C96" i="1" s="1"/>
  <c r="D81" i="1"/>
  <c r="E81" i="1" s="1"/>
  <c r="D80" i="1"/>
  <c r="E80" i="1" s="1"/>
  <c r="C80" i="1"/>
  <c r="B80" i="1"/>
  <c r="D79" i="1"/>
  <c r="F79" i="1" s="1"/>
  <c r="B79" i="1"/>
  <c r="E78" i="1"/>
  <c r="D78" i="1"/>
  <c r="B78" i="1"/>
  <c r="C78" i="1" s="1"/>
  <c r="D77" i="1"/>
  <c r="B77" i="1"/>
  <c r="C77" i="1" s="1"/>
  <c r="D76" i="1"/>
  <c r="E76" i="1" s="1"/>
  <c r="C76" i="1"/>
  <c r="B76" i="1"/>
  <c r="D75" i="1"/>
  <c r="F75" i="1" s="1"/>
  <c r="B75" i="1"/>
  <c r="E74" i="1"/>
  <c r="D74" i="1"/>
  <c r="B74" i="1"/>
  <c r="B82" i="1" s="1"/>
  <c r="D73" i="1"/>
  <c r="F78" i="1" s="1"/>
  <c r="D67" i="1"/>
  <c r="B67" i="1"/>
  <c r="D66" i="1"/>
  <c r="B66" i="1"/>
  <c r="D65" i="1"/>
  <c r="B65" i="1"/>
  <c r="D64" i="1"/>
  <c r="B64" i="1"/>
  <c r="D63" i="1"/>
  <c r="B63" i="1"/>
  <c r="D62" i="1"/>
  <c r="B62" i="1"/>
  <c r="D61" i="1"/>
  <c r="B61" i="1"/>
  <c r="D60" i="1"/>
  <c r="B60" i="1"/>
  <c r="E54" i="1"/>
  <c r="D54" i="1"/>
  <c r="C54" i="1"/>
  <c r="B54" i="1"/>
  <c r="E53" i="1"/>
  <c r="D53" i="1"/>
  <c r="C53" i="1"/>
  <c r="B53" i="1"/>
  <c r="D19" i="1" s="1"/>
  <c r="E52" i="1"/>
  <c r="D52" i="1"/>
  <c r="C52" i="1"/>
  <c r="B52" i="1"/>
  <c r="B46" i="1"/>
  <c r="C46" i="1" s="1"/>
  <c r="E45" i="1"/>
  <c r="B45" i="1"/>
  <c r="C45" i="1" s="1"/>
  <c r="E44" i="1"/>
  <c r="D44" i="1"/>
  <c r="C44" i="1"/>
  <c r="D43" i="1"/>
  <c r="E43" i="1" s="1"/>
  <c r="C43" i="1"/>
  <c r="D42" i="1"/>
  <c r="E42" i="1" s="1"/>
  <c r="C42" i="1"/>
  <c r="E41" i="1"/>
  <c r="B41" i="1"/>
  <c r="C41" i="1" s="1"/>
  <c r="E40" i="1"/>
  <c r="D40" i="1"/>
  <c r="B40" i="1"/>
  <c r="C40" i="1" s="1"/>
  <c r="E39" i="1"/>
  <c r="D39" i="1"/>
  <c r="B39" i="1"/>
  <c r="C39" i="1" s="1"/>
  <c r="E38" i="1"/>
  <c r="D38" i="1"/>
  <c r="B38" i="1"/>
  <c r="C38" i="1" s="1"/>
  <c r="E37" i="1"/>
  <c r="D37" i="1"/>
  <c r="B37" i="1"/>
  <c r="C37" i="1" s="1"/>
  <c r="E36" i="1"/>
  <c r="D36" i="1"/>
  <c r="C36" i="1"/>
  <c r="D35" i="1"/>
  <c r="D46" i="1" s="1"/>
  <c r="E46" i="1" s="1"/>
  <c r="B35" i="1"/>
  <c r="D28" i="1"/>
  <c r="E28" i="1" s="1"/>
  <c r="C28" i="1"/>
  <c r="D27" i="1"/>
  <c r="E27" i="1" s="1"/>
  <c r="C27" i="1"/>
  <c r="B27" i="1"/>
  <c r="B29" i="1" s="1"/>
  <c r="B19" i="1"/>
  <c r="D17" i="1"/>
  <c r="B17" i="1"/>
  <c r="D15" i="1"/>
  <c r="B15" i="1"/>
  <c r="D13" i="1"/>
  <c r="B13" i="1"/>
  <c r="D12" i="1"/>
  <c r="B12" i="1"/>
  <c r="B6" i="1"/>
  <c r="B159" i="1" s="1"/>
  <c r="B5" i="1"/>
  <c r="E93" i="1" s="1"/>
  <c r="B4" i="1"/>
  <c r="C79" i="1" s="1"/>
  <c r="B14" i="1" l="1"/>
  <c r="C82" i="1"/>
  <c r="B11" i="1"/>
  <c r="C29" i="1"/>
  <c r="D82" i="1"/>
  <c r="F74" i="1"/>
  <c r="E75" i="1"/>
  <c r="D16" i="1"/>
  <c r="D18" i="1"/>
  <c r="C35" i="1"/>
  <c r="C75" i="1"/>
  <c r="F76" i="1"/>
  <c r="E77" i="1"/>
  <c r="F80" i="1"/>
  <c r="E89" i="1"/>
  <c r="E90" i="1"/>
  <c r="E91" i="1"/>
  <c r="E92" i="1"/>
  <c r="D29" i="1"/>
  <c r="F77" i="1"/>
  <c r="E79" i="1"/>
  <c r="C89" i="1"/>
  <c r="E35" i="1"/>
  <c r="B18" i="1"/>
  <c r="C74" i="1"/>
  <c r="E29" i="1" l="1"/>
  <c r="D11" i="1"/>
  <c r="F82" i="1"/>
  <c r="D14" i="1"/>
  <c r="E82" i="1"/>
</calcChain>
</file>

<file path=xl/sharedStrings.xml><?xml version="1.0" encoding="utf-8"?>
<sst xmlns="http://schemas.openxmlformats.org/spreadsheetml/2006/main" count="1394" uniqueCount="354">
  <si>
    <t>Daura LGA, Katsina State: attendees vs non-attenders</t>
  </si>
  <si>
    <t>PRACTICE DATA (synthetic). Not real households or real programme results. All figures are live formulas on the Attendees, NonAttendees and Staff sheets.</t>
  </si>
  <si>
    <t>Attendees (records)</t>
  </si>
  <si>
    <t>Non-attenders (households)</t>
  </si>
  <si>
    <t>Staff (records)</t>
  </si>
  <si>
    <t>Summary for the one-page version</t>
  </si>
  <si>
    <t>Each cell reads: count of base (percentage).</t>
  </si>
  <si>
    <t>Attendees (30)</t>
  </si>
  <si>
    <t>Non-attenders (40)</t>
  </si>
  <si>
    <t>Information problem</t>
  </si>
  <si>
    <t>Median distance to the outreach (km)</t>
  </si>
  <si>
    <t>Median travel time (minutes)</t>
  </si>
  <si>
    <t>Heard through a CHW or community leader</t>
  </si>
  <si>
    <t>Distance or transport cost as the main barrier / reason</t>
  </si>
  <si>
    <t>Most common ask</t>
  </si>
  <si>
    <t>Would use again / would attend next time (Yes)</t>
  </si>
  <si>
    <t>Waiting time as an issue</t>
  </si>
  <si>
    <t>Where the information gap shows up</t>
  </si>
  <si>
    <t>Never-heard households open to attending (Yes or Maybe)</t>
  </si>
  <si>
    <t>n/a</t>
  </si>
  <si>
    <t>1. The information problem</t>
  </si>
  <si>
    <t>Attendees: main barrier before attending. Non-attenders: main reason for not attending.</t>
  </si>
  <si>
    <t>Attendees (n)</t>
  </si>
  <si>
    <t>% of 30</t>
  </si>
  <si>
    <t>Non-attenders (n)</t>
  </si>
  <si>
    <t>% of 40</t>
  </si>
  <si>
    <t>Lack of information / did not know about it</t>
  </si>
  <si>
    <t>Heard about it too late</t>
  </si>
  <si>
    <t>Information-related, total</t>
  </si>
  <si>
    <t>2. Barriers (attendees) and reasons (non-attenders), grouped</t>
  </si>
  <si>
    <t>Groups follow the mapping on the Notes sheet. "n/a" means the option did not exist for that group.</t>
  </si>
  <si>
    <t>Lack of information / did not know</t>
  </si>
  <si>
    <t>Heard too late</t>
  </si>
  <si>
    <t>Distance / transport cost</t>
  </si>
  <si>
    <t>Work / household responsibilities</t>
  </si>
  <si>
    <t>Language / communication</t>
  </si>
  <si>
    <t>Previous bad service experience</t>
  </si>
  <si>
    <t>Cost of other related services</t>
  </si>
  <si>
    <t>Concern about the service</t>
  </si>
  <si>
    <t>Heard waiting time was long</t>
  </si>
  <si>
    <t>Was unwell or away</t>
  </si>
  <si>
    <t>No major barrier</t>
  </si>
  <si>
    <t>Total (check: equals group size)</t>
  </si>
  <si>
    <t>3. Where the information gap sits, by community</t>
  </si>
  <si>
    <t>Small groups: read the counts, not only the percentages.</t>
  </si>
  <si>
    <t>Kusugu (n)</t>
  </si>
  <si>
    <t>Kusugu base</t>
  </si>
  <si>
    <t>Sarkin Yara (n)</t>
  </si>
  <si>
    <t>SY base</t>
  </si>
  <si>
    <t>Attendees who named lack of information</t>
  </si>
  <si>
    <t>Non-attenders who never heard about the outreach</t>
  </si>
  <si>
    <t>Non-attenders with an information reason (never heard or heard too late)</t>
  </si>
  <si>
    <t>4. Distance and travel time</t>
  </si>
  <si>
    <t>Medians are used because travel time has an extreme value (295 minutes) among attendees. Blank answers are left out.</t>
  </si>
  <si>
    <t>Attendees</t>
  </si>
  <si>
    <t>Non-attenders</t>
  </si>
  <si>
    <t>Distance (km): answers</t>
  </si>
  <si>
    <t>Distance (km): median</t>
  </si>
  <si>
    <t>Distance (km): lowest</t>
  </si>
  <si>
    <t>Distance (km): highest</t>
  </si>
  <si>
    <t>Travel time (min): answers</t>
  </si>
  <si>
    <t>Travel time (min): median</t>
  </si>
  <si>
    <t>Travel time (min): lowest</t>
  </si>
  <si>
    <t>Travel time (min): highest</t>
  </si>
  <si>
    <t>5. How they heard about the outreach</t>
  </si>
  <si>
    <t>Non-attenders: the last column uses only the households that were aware (the base).</t>
  </si>
  <si>
    <t>% of aware non-attenders</t>
  </si>
  <si>
    <t>Aware non-attenders (base for last column)</t>
  </si>
  <si>
    <t>CHW</t>
  </si>
  <si>
    <t>Community leader</t>
  </si>
  <si>
    <t>Health facility</t>
  </si>
  <si>
    <t>Radio</t>
  </si>
  <si>
    <t>Family/friend</t>
  </si>
  <si>
    <t>Religious/community group</t>
  </si>
  <si>
    <t>Social media</t>
  </si>
  <si>
    <t>Did not hear about it</t>
  </si>
  <si>
    <t>CHW + community leader, combined</t>
  </si>
  <si>
    <t>6. What they ask for</t>
  </si>
  <si>
    <t>Attendees: what would improve the next outreach (29 answered; 1 blank). Non-attenders: what would help most.</t>
  </si>
  <si>
    <t>% of answered</t>
  </si>
  <si>
    <t>Attendees who answered (base)</t>
  </si>
  <si>
    <t>Shorter waiting time</t>
  </si>
  <si>
    <t>More outreach days</t>
  </si>
  <si>
    <t>Closer service point</t>
  </si>
  <si>
    <t>More info before outreach</t>
  </si>
  <si>
    <t>More privacy</t>
  </si>
  <si>
    <t>Reminder call or SMS</t>
  </si>
  <si>
    <t>Home visit by health worker</t>
  </si>
  <si>
    <t>No additional support</t>
  </si>
  <si>
    <t>7. Would they come, or use it again?</t>
  </si>
  <si>
    <t>The two questions differ (would use again vs would attend next time), so compare with care.</t>
  </si>
  <si>
    <t>Attendees: would use again (n)</t>
  </si>
  <si>
    <t>Non-attenders: would attend next time (n)</t>
  </si>
  <si>
    <t>Yes</t>
  </si>
  <si>
    <t>Maybe</t>
  </si>
  <si>
    <t>No</t>
  </si>
  <si>
    <t>Non-attenders: would attend next time, by whether they had heard</t>
  </si>
  <si>
    <t>Never heard (n)</t>
  </si>
  <si>
    <t>% of never heard</t>
  </si>
  <si>
    <t>Had heard (n)</t>
  </si>
  <si>
    <t>% of had heard</t>
  </si>
  <si>
    <t>Households in group (base)</t>
  </si>
  <si>
    <t>Would attend: Yes</t>
  </si>
  <si>
    <t>Would attend: Maybe</t>
  </si>
  <si>
    <t>Would attend: No</t>
  </si>
  <si>
    <t>8. Waiting time and satisfaction (attendees)</t>
  </si>
  <si>
    <t>One attendee has no recorded wait and is left out of the bands. Non-attenders were not asked about satisfaction.</t>
  </si>
  <si>
    <t>Wait</t>
  </si>
  <si>
    <t>People (n)</t>
  </si>
  <si>
    <t>Average satisfaction (1 to 5)</t>
  </si>
  <si>
    <t>30 minutes or less</t>
  </si>
  <si>
    <t>31 to 45 minutes</t>
  </si>
  <si>
    <t>46 to 60 minutes</t>
  </si>
  <si>
    <t>Over 60 minutes</t>
  </si>
  <si>
    <t>All with a recorded wait</t>
  </si>
  <si>
    <t>No wait recorded</t>
  </si>
  <si>
    <t>left out</t>
  </si>
  <si>
    <t>Share who waited over 60 minutes (of those with a recorded wait)</t>
  </si>
  <si>
    <t>9. Who they are</t>
  </si>
  <si>
    <t>Attendees: service received. Non-attenders: service needed.</t>
  </si>
  <si>
    <t>Respondent type</t>
  </si>
  <si>
    <t xml:space="preserve">   Parent/Guardian/Caregiver</t>
  </si>
  <si>
    <t xml:space="preserve">   Self</t>
  </si>
  <si>
    <t>Sex</t>
  </si>
  <si>
    <t xml:space="preserve">   Female</t>
  </si>
  <si>
    <t xml:space="preserve">   Male</t>
  </si>
  <si>
    <t>Age group</t>
  </si>
  <si>
    <t xml:space="preserve">   Under 1</t>
  </si>
  <si>
    <t xml:space="preserve">   1–4</t>
  </si>
  <si>
    <t xml:space="preserve">   5–9</t>
  </si>
  <si>
    <t xml:space="preserve">   10–17</t>
  </si>
  <si>
    <t xml:space="preserve">   18–24</t>
  </si>
  <si>
    <t xml:space="preserve">   25–34</t>
  </si>
  <si>
    <t xml:space="preserve">   35–44</t>
  </si>
  <si>
    <t xml:space="preserve">   45+</t>
  </si>
  <si>
    <t>Service</t>
  </si>
  <si>
    <t xml:space="preserve">   Routine Immunization</t>
  </si>
  <si>
    <t xml:space="preserve">   Catch-up Immunization</t>
  </si>
  <si>
    <t xml:space="preserve">   COVID-19 Vaccination</t>
  </si>
  <si>
    <t xml:space="preserve">   HPV Vaccination</t>
  </si>
  <si>
    <t>Preferred language</t>
  </si>
  <si>
    <t xml:space="preserve">   Hausa</t>
  </si>
  <si>
    <t xml:space="preserve">   English</t>
  </si>
  <si>
    <t xml:space="preserve">   Pidgin</t>
  </si>
  <si>
    <t>Note: one attendee has no language recorded.</t>
  </si>
  <si>
    <t>10. Staff view (3 records only)</t>
  </si>
  <si>
    <t>Too few records to generalise. Shown for context.</t>
  </si>
  <si>
    <t>Value</t>
  </si>
  <si>
    <t>Staff records</t>
  </si>
  <si>
    <t>Community mobilisation rating, average (1 to 5)</t>
  </si>
  <si>
    <t>Community mobilisation rating, lowest</t>
  </si>
  <si>
    <t>Community mobilisation rating, highest</t>
  </si>
  <si>
    <t>Main challenge: Transport/logistics</t>
  </si>
  <si>
    <t>Main challenge: No major challenge</t>
  </si>
  <si>
    <t>Priority: More supplies</t>
  </si>
  <si>
    <t>Priority: Earlier community mobilization</t>
  </si>
  <si>
    <t>Notes and assumptions</t>
  </si>
  <si>
    <t>Purpose</t>
  </si>
  <si>
    <t>Side-by-side comparison for Daura LGA (Katsina): 30 attendees, 40 non-attender households, 3 staff records.</t>
  </si>
  <si>
    <t>PRACTICE DATA</t>
  </si>
  <si>
    <t>All data is synthetic. The attendee and staff records come from the practice dataset; the non-attender survey was generated for this demonstration. Nothing here is a real programme result, and the non-attender patterns were designed, not discovered.</t>
  </si>
  <si>
    <t>Denominators</t>
  </si>
  <si>
    <t>Attendees: 30. Non-attenders: 40. Aware non-attenders: 28. Attendee improvement asks: 29 answered. Attendee waits: 29 recorded. Distance: 29 attendee answers, 38 non-attender answers. Travel time: 30 attendee answers, 39 non-attender answers.</t>
  </si>
  <si>
    <t>Medians</t>
  </si>
  <si>
    <t>Distance and travel time use medians. One attendee reported a 295-minute journey.</t>
  </si>
  <si>
    <t>Like-for-like</t>
  </si>
  <si>
    <t>Attendees reported the main barrier before attending; non-attenders gave the main reason for not attending. The two questions differ, so groups are compared by theme, not as identical measures.</t>
  </si>
  <si>
    <t>Mapping: information</t>
  </si>
  <si>
    <t>Attendee "Lack of information" = non-attender "Did not know about it". Non-attender "Heard too late" has no attendee equivalent and is also counted as information-related.</t>
  </si>
  <si>
    <t>Mapping: shared groups</t>
  </si>
  <si>
    <t>Distance/transport cost; Work/household responsibilities; Language/communication; Previous bad service experience appear in both.</t>
  </si>
  <si>
    <t>Attendee only</t>
  </si>
  <si>
    <t>Cost of other related services; No major barrier.</t>
  </si>
  <si>
    <t>Non-attender only</t>
  </si>
  <si>
    <t>Concern about the service; Heard waiting time was long; Was unwell or away.</t>
  </si>
  <si>
    <t>Would use again vs would attend</t>
  </si>
  <si>
    <t>Different questions. Shown side by side but not equivalent.</t>
  </si>
  <si>
    <t>Small numbers</t>
  </si>
  <si>
    <t>Staff: 3 records. Communities: 15 attendees and 20 households each. Read counts, not only percentages. Avoid words such as "proves" or "caused".</t>
  </si>
  <si>
    <t>Beneficiary_ID</t>
  </si>
  <si>
    <t>Outreach_Date</t>
  </si>
  <si>
    <t>Community</t>
  </si>
  <si>
    <t>Age_Group</t>
  </si>
  <si>
    <t>Respondent_Type</t>
  </si>
  <si>
    <t>Service_Received</t>
  </si>
  <si>
    <t>First_Time_Receiving_Service</t>
  </si>
  <si>
    <t>Previous_Access_to_Service</t>
  </si>
  <si>
    <t>How_Heard_About_Outreach</t>
  </si>
  <si>
    <t>Distance_to_Outreach_Km</t>
  </si>
  <si>
    <t>Travel_Time_Minutes</t>
  </si>
  <si>
    <t>Main_Barrier_Before_Attending</t>
  </si>
  <si>
    <t>Preferred_Communication_Language</t>
  </si>
  <si>
    <t>Translator_Used</t>
  </si>
  <si>
    <t>Waiting_Time_Minutes</t>
  </si>
  <si>
    <t>Satisfaction_Score_1_to_5</t>
  </si>
  <si>
    <t>Overall_Experience</t>
  </si>
  <si>
    <t>Would_Use_Service_Again</t>
  </si>
  <si>
    <t>What_Would_Improve_Next_Outreach</t>
  </si>
  <si>
    <t>BEN-2026015</t>
  </si>
  <si>
    <t>2026-05-04</t>
  </si>
  <si>
    <t>Kusugu</t>
  </si>
  <si>
    <t>Under 1</t>
  </si>
  <si>
    <t>Female</t>
  </si>
  <si>
    <t>Parent/Guardian/Caregiver</t>
  </si>
  <si>
    <t>Catch-up Immunization</t>
  </si>
  <si>
    <t>Health Center/Hospital</t>
  </si>
  <si>
    <t>Hausa</t>
  </si>
  <si>
    <t>Neutral</t>
  </si>
  <si>
    <t>BEN-2026022</t>
  </si>
  <si>
    <t>2026-05-12</t>
  </si>
  <si>
    <t>Sarkin Yara</t>
  </si>
  <si>
    <t>10–17</t>
  </si>
  <si>
    <t>Male</t>
  </si>
  <si>
    <t>Self</t>
  </si>
  <si>
    <t>Never</t>
  </si>
  <si>
    <t>Pidgin</t>
  </si>
  <si>
    <t>Negative</t>
  </si>
  <si>
    <t>BEN-2026036</t>
  </si>
  <si>
    <t>2026-05-19</t>
  </si>
  <si>
    <t>1–4</t>
  </si>
  <si>
    <t>Routine Immunization</t>
  </si>
  <si>
    <t>Previous Outreach</t>
  </si>
  <si>
    <t>Lack of information</t>
  </si>
  <si>
    <t>BEN-2026039</t>
  </si>
  <si>
    <t>2026-05-25</t>
  </si>
  <si>
    <t>Work/household responsibilities</t>
  </si>
  <si>
    <t>BEN-2026046</t>
  </si>
  <si>
    <t>2026-05-20</t>
  </si>
  <si>
    <t>Distance/transport cost</t>
  </si>
  <si>
    <t>Positive</t>
  </si>
  <si>
    <t>BEN-2026050</t>
  </si>
  <si>
    <t>2026-05-05</t>
  </si>
  <si>
    <t>BEN-2026061</t>
  </si>
  <si>
    <t>2026-05-27</t>
  </si>
  <si>
    <t>English</t>
  </si>
  <si>
    <t>BEN-2026084</t>
  </si>
  <si>
    <t>2026-05-13</t>
  </si>
  <si>
    <t>Very positive</t>
  </si>
  <si>
    <t>BEN-2026089</t>
  </si>
  <si>
    <t>2026-05-18</t>
  </si>
  <si>
    <t>Private Clinic</t>
  </si>
  <si>
    <t>BEN-2026107</t>
  </si>
  <si>
    <t>BEN-2026161</t>
  </si>
  <si>
    <t>BEN-2026197</t>
  </si>
  <si>
    <t>Language/communication</t>
  </si>
  <si>
    <t>BEN-2026198</t>
  </si>
  <si>
    <t>2026-05-11</t>
  </si>
  <si>
    <t>BEN-2026250</t>
  </si>
  <si>
    <t>BEN-2026255</t>
  </si>
  <si>
    <t>BEN-2026274</t>
  </si>
  <si>
    <t>5–9</t>
  </si>
  <si>
    <t>BEN-2026310</t>
  </si>
  <si>
    <t>2026-05-06</t>
  </si>
  <si>
    <t>45+</t>
  </si>
  <si>
    <t>COVID-19 Vaccination</t>
  </si>
  <si>
    <t>BEN-2026315</t>
  </si>
  <si>
    <t>HPV Vaccination</t>
  </si>
  <si>
    <t>BEN-2026316</t>
  </si>
  <si>
    <t>BEN-2026318</t>
  </si>
  <si>
    <t>BEN-2026321</t>
  </si>
  <si>
    <t>BEN-2026342</t>
  </si>
  <si>
    <t>25–34</t>
  </si>
  <si>
    <t>BEN-2026363</t>
  </si>
  <si>
    <t>BEN-2026412</t>
  </si>
  <si>
    <t>BEN-2026446</t>
  </si>
  <si>
    <t>BEN-2026458</t>
  </si>
  <si>
    <t>BEN-2026471</t>
  </si>
  <si>
    <t>BEN-2026476</t>
  </si>
  <si>
    <t>BEN-2026487</t>
  </si>
  <si>
    <t>BEN-2026493</t>
  </si>
  <si>
    <t>Household_ID</t>
  </si>
  <si>
    <t>Survey_Date</t>
  </si>
  <si>
    <t>State</t>
  </si>
  <si>
    <t>LGA</t>
  </si>
  <si>
    <t>Respondent_Sex</t>
  </si>
  <si>
    <t>Person_Needing_Service_Age_Group</t>
  </si>
  <si>
    <t>Service_Needed</t>
  </si>
  <si>
    <t>Aware_of_Outreach</t>
  </si>
  <si>
    <t>Main_Reason_Did_Not_Attend</t>
  </si>
  <si>
    <t>Would_Attend_Next_Time</t>
  </si>
  <si>
    <t>What_Would_Help_Most</t>
  </si>
  <si>
    <t>Recorded_By</t>
  </si>
  <si>
    <t>NA-001</t>
  </si>
  <si>
    <t>2026-06-09</t>
  </si>
  <si>
    <t>Katsina</t>
  </si>
  <si>
    <t>Daura</t>
  </si>
  <si>
    <t>NA-002</t>
  </si>
  <si>
    <t>2026-06-07</t>
  </si>
  <si>
    <t>NA-003</t>
  </si>
  <si>
    <t>2026-06-02</t>
  </si>
  <si>
    <t>NA-004</t>
  </si>
  <si>
    <t>2026-06-04</t>
  </si>
  <si>
    <t>Did not know about it</t>
  </si>
  <si>
    <t>NA-005</t>
  </si>
  <si>
    <t>NA-006</t>
  </si>
  <si>
    <t>2026-06-12</t>
  </si>
  <si>
    <t>Volunteer</t>
  </si>
  <si>
    <t>NA-007</t>
  </si>
  <si>
    <t>NA-008</t>
  </si>
  <si>
    <t>2026-06-10</t>
  </si>
  <si>
    <t>NA-009</t>
  </si>
  <si>
    <t>NA-010</t>
  </si>
  <si>
    <t>NA-011</t>
  </si>
  <si>
    <t>2026-06-05</t>
  </si>
  <si>
    <t>NA-012</t>
  </si>
  <si>
    <t>NA-013</t>
  </si>
  <si>
    <t>NA-014</t>
  </si>
  <si>
    <t>NA-015</t>
  </si>
  <si>
    <t>18–24</t>
  </si>
  <si>
    <t>NA-016</t>
  </si>
  <si>
    <t>NA-017</t>
  </si>
  <si>
    <t>NA-018</t>
  </si>
  <si>
    <t>2026-06-08</t>
  </si>
  <si>
    <t>NA-019</t>
  </si>
  <si>
    <t>2026-06-03</t>
  </si>
  <si>
    <t>NA-020</t>
  </si>
  <si>
    <t>2026-06-01</t>
  </si>
  <si>
    <t>NA-021</t>
  </si>
  <si>
    <t>NA-022</t>
  </si>
  <si>
    <t>NA-023</t>
  </si>
  <si>
    <t>NA-024</t>
  </si>
  <si>
    <t>NA-025</t>
  </si>
  <si>
    <t>NA-026</t>
  </si>
  <si>
    <t>2026-06-06</t>
  </si>
  <si>
    <t>NA-027</t>
  </si>
  <si>
    <t>NA-028</t>
  </si>
  <si>
    <t>NA-029</t>
  </si>
  <si>
    <t>NA-030</t>
  </si>
  <si>
    <t>NA-031</t>
  </si>
  <si>
    <t>NA-032</t>
  </si>
  <si>
    <t>NA-033</t>
  </si>
  <si>
    <t>NA-034</t>
  </si>
  <si>
    <t>NA-035</t>
  </si>
  <si>
    <t>NA-036</t>
  </si>
  <si>
    <t>NA-037</t>
  </si>
  <si>
    <t>NA-038</t>
  </si>
  <si>
    <t>NA-039</t>
  </si>
  <si>
    <t>NA-040</t>
  </si>
  <si>
    <t>35–44</t>
  </si>
  <si>
    <t>Staff_ID</t>
  </si>
  <si>
    <t>Role</t>
  </si>
  <si>
    <t>Community_Mobilization_1_to_5</t>
  </si>
  <si>
    <t>Main_Operational_Challenge</t>
  </si>
  <si>
    <t>Priority_Improvement</t>
  </si>
  <si>
    <t>Would_Change_Something_Next_Time</t>
  </si>
  <si>
    <t>STF-030</t>
  </si>
  <si>
    <t>Vaccinator</t>
  </si>
  <si>
    <t>No major challenge</t>
  </si>
  <si>
    <t>More supplies</t>
  </si>
  <si>
    <t>STF-034</t>
  </si>
  <si>
    <t>Community Mobilizer</t>
  </si>
  <si>
    <t>Transport/logistics</t>
  </si>
  <si>
    <t>Earlier community mobilization</t>
  </si>
  <si>
    <t>STF-035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</si>
</sst>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1"/>
      <color rgb="FF1F4E5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8E1"/>
        <bgColor rgb="FFFFFFFF"/>
      </patternFill>
    </fill>
    <fill>
      <patternFill patternType="solid">
        <fgColor rgb="FFEEF3F5"/>
        <bgColor rgb="FFFFF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0" fontId="3" fillId="0" borderId="0" xfId="0" applyFont="1"/>
    <xf numFmtId="2" fontId="6" fillId="0" borderId="1" xfId="0" applyNumberFormat="1" applyFont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5" fillId="2" borderId="0" xfId="0" applyFont="1" applyFill="1" applyAlignment="1">
      <alignment vertical="center" wrapText="1"/>
    </xf>
    <xf numFmtId="0" fontId="6" fillId="0" borderId="0" xfId="0" applyFont="1"/>
    <xf numFmtId="0" fontId="6" fillId="3" borderId="1" xfId="0" applyFont="1" applyFill="1" applyBorder="1" applyAlignment="1">
      <alignment horizont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E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6"/>
  <sheetViews>
    <sheetView showGridLines="0" topLeftCell="A148" zoomScaleNormal="100" workbookViewId="0"/>
  </sheetViews>
  <sheetFormatPr defaultColWidth="8.7109375" defaultRowHeight="15" x14ac:dyDescent="0.25"/>
  <cols>
    <col min="1" max="1" width="46" customWidth="1"/>
    <col min="2" max="2" width="16" customWidth="1"/>
    <col min="3" max="3" width="14" customWidth="1"/>
    <col min="4" max="4" width="16" customWidth="1"/>
    <col min="5" max="5" width="14" customWidth="1"/>
    <col min="6" max="6" width="16" customWidth="1"/>
    <col min="7" max="7" width="14" customWidth="1"/>
  </cols>
  <sheetData>
    <row r="1" spans="1:5" ht="18" x14ac:dyDescent="0.25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  <c r="B4" s="3">
        <f>COUNTA(Attendees!$A$2:$A$31)</f>
        <v>30</v>
      </c>
    </row>
    <row r="5" spans="1:5" x14ac:dyDescent="0.25">
      <c r="A5" s="3" t="s">
        <v>3</v>
      </c>
      <c r="B5" s="3">
        <f>COUNTA(NonAttendees!$A$2:$A$41)</f>
        <v>40</v>
      </c>
    </row>
    <row r="6" spans="1:5" x14ac:dyDescent="0.25">
      <c r="A6" s="3" t="s">
        <v>4</v>
      </c>
      <c r="B6" s="3">
        <f>COUNTA(Staff!$A$2:$A$4)</f>
        <v>3</v>
      </c>
    </row>
    <row r="8" spans="1:5" x14ac:dyDescent="0.25">
      <c r="A8" s="4" t="s">
        <v>5</v>
      </c>
    </row>
    <row r="9" spans="1:5" x14ac:dyDescent="0.25">
      <c r="A9" s="2" t="s">
        <v>6</v>
      </c>
    </row>
    <row r="10" spans="1:5" ht="30" customHeight="1" x14ac:dyDescent="0.25">
      <c r="A10" s="5"/>
      <c r="B10" s="6" t="s">
        <v>7</v>
      </c>
      <c r="C10" s="6"/>
      <c r="D10" s="6" t="s">
        <v>8</v>
      </c>
      <c r="E10" s="6"/>
    </row>
    <row r="11" spans="1:5" ht="30" customHeight="1" x14ac:dyDescent="0.25">
      <c r="A11" s="7" t="s">
        <v>9</v>
      </c>
      <c r="B11" s="24" t="str">
        <f>B29&amp;" of "&amp;$B$4&amp;" ("&amp;TEXT(B29/$B$4,"0%")&amp;")"</f>
        <v>7 of 30 (23%)</v>
      </c>
      <c r="C11" s="24"/>
      <c r="D11" s="24" t="str">
        <f>D29&amp;" of "&amp;$B$5&amp;" ("&amp;TEXT(D29/$B$5,"0%")&amp;")"</f>
        <v>17 of 40 (43%)</v>
      </c>
      <c r="E11" s="24"/>
    </row>
    <row r="12" spans="1:5" ht="30" customHeight="1" x14ac:dyDescent="0.25">
      <c r="A12" s="7" t="s">
        <v>10</v>
      </c>
      <c r="B12" s="24" t="str">
        <f>TEXT(B61,"0.0#")</f>
        <v>2.3</v>
      </c>
      <c r="C12" s="24"/>
      <c r="D12" s="24" t="str">
        <f>TEXT(D61,"0.0#")</f>
        <v>3.65</v>
      </c>
      <c r="E12" s="24"/>
    </row>
    <row r="13" spans="1:5" ht="30" customHeight="1" x14ac:dyDescent="0.25">
      <c r="A13" s="7" t="s">
        <v>11</v>
      </c>
      <c r="B13" s="24" t="str">
        <f>TEXT(B65,"0")</f>
        <v>33</v>
      </c>
      <c r="C13" s="24"/>
      <c r="D13" s="24" t="str">
        <f>TEXT(D65,"0")</f>
        <v>45</v>
      </c>
      <c r="E13" s="24"/>
    </row>
    <row r="14" spans="1:5" ht="30" customHeight="1" x14ac:dyDescent="0.25">
      <c r="A14" s="7" t="s">
        <v>12</v>
      </c>
      <c r="B14" s="24" t="str">
        <f>B82&amp;" of "&amp;$B$4&amp;" ("&amp;TEXT(B82/$B$4,"0%")&amp;")"</f>
        <v>15 of 30 (50%)</v>
      </c>
      <c r="C14" s="24"/>
      <c r="D14" s="24" t="str">
        <f>D82&amp;" of "&amp;$D$73&amp;" ("&amp;TEXT(D82/$D$73,"0%")&amp;")"&amp;" of those aware"</f>
        <v>17 of 28 (61%) of those aware</v>
      </c>
      <c r="E14" s="24"/>
    </row>
    <row r="15" spans="1:5" ht="30" customHeight="1" x14ac:dyDescent="0.25">
      <c r="A15" s="7" t="s">
        <v>13</v>
      </c>
      <c r="B15" s="24" t="str">
        <f>B37&amp;" of "&amp;$B$4&amp;" ("&amp;TEXT(B37/$B$4,"0%")&amp;")"</f>
        <v>4 of 30 (13%)</v>
      </c>
      <c r="C15" s="24"/>
      <c r="D15" s="24" t="str">
        <f>D37&amp;" of "&amp;$B$5&amp;" ("&amp;TEXT(D37/$B$5,"0%")&amp;")"</f>
        <v>6 of 40 (15%)</v>
      </c>
      <c r="E15" s="24"/>
    </row>
    <row r="16" spans="1:5" ht="30" customHeight="1" x14ac:dyDescent="0.25">
      <c r="A16" s="7" t="s">
        <v>14</v>
      </c>
      <c r="B16" s="24" t="str">
        <f>"Shorter waiting time: "&amp;B89&amp;" of "&amp;$B$88</f>
        <v>Shorter waiting time: 10 of 29</v>
      </c>
      <c r="C16" s="24"/>
      <c r="D16" s="24" t="str">
        <f>"Closer service point: "&amp;D91&amp;" of "&amp;$B$5</f>
        <v>Closer service point: 9 of 40</v>
      </c>
      <c r="E16" s="24"/>
    </row>
    <row r="17" spans="1:5" ht="30" customHeight="1" x14ac:dyDescent="0.25">
      <c r="A17" s="7" t="s">
        <v>15</v>
      </c>
      <c r="B17" s="24" t="str">
        <f>B102&amp;" of "&amp;$B$4&amp;" ("&amp;TEXT(B102/$B$4,"0%")&amp;")"</f>
        <v>18 of 30 (60%)</v>
      </c>
      <c r="C17" s="24"/>
      <c r="D17" s="24" t="str">
        <f>D102&amp;" of "&amp;$B$5&amp;" ("&amp;TEXT(D102/$B$5,"0%")&amp;")"</f>
        <v>20 of 40 (50%)</v>
      </c>
      <c r="E17" s="24"/>
    </row>
    <row r="18" spans="1:5" ht="30" customHeight="1" x14ac:dyDescent="0.25">
      <c r="A18" s="7" t="s">
        <v>16</v>
      </c>
      <c r="B18" s="24" t="str">
        <f>"Waited over 60 min: "&amp;B120&amp;" of "&amp;B121</f>
        <v>Waited over 60 min: 7 of 29</v>
      </c>
      <c r="C18" s="24"/>
      <c r="D18" s="24" t="str">
        <f>"Gave long waits as the reason: "&amp;D43&amp;" of "&amp;$B$5</f>
        <v>Gave long waits as the reason: 2 of 40</v>
      </c>
      <c r="E18" s="24"/>
    </row>
    <row r="19" spans="1:5" ht="30" customHeight="1" x14ac:dyDescent="0.25">
      <c r="A19" s="7" t="s">
        <v>17</v>
      </c>
      <c r="B19" s="24" t="str">
        <f>IF(B52/C52&gt;D52/E52,"Kusugu: "&amp;B52&amp;" of "&amp;C52,"Sarkin Yara: "&amp;D52&amp;" of "&amp;E52)</f>
        <v>Kusugu: 5 of 15</v>
      </c>
      <c r="C19" s="24"/>
      <c r="D19" s="24" t="str">
        <f>IF(B53/C53&gt;D53/E53,"Kusugu: "&amp;B53&amp;" of "&amp;C53&amp;" never heard","Sarkin Yara: "&amp;D53&amp;" of "&amp;E53&amp;" never heard")</f>
        <v>Sarkin Yara: 8 of 20 never heard</v>
      </c>
      <c r="E19" s="24"/>
    </row>
    <row r="20" spans="1:5" ht="30" customHeight="1" x14ac:dyDescent="0.25">
      <c r="A20" s="7" t="s">
        <v>18</v>
      </c>
      <c r="B20" s="24" t="s">
        <v>19</v>
      </c>
      <c r="C20" s="24"/>
      <c r="D20" s="24" t="str">
        <f>(B109+B110)&amp;" of "&amp;B108</f>
        <v>10 of 12</v>
      </c>
      <c r="E20" s="24"/>
    </row>
    <row r="24" spans="1:5" x14ac:dyDescent="0.25">
      <c r="A24" s="4" t="s">
        <v>20</v>
      </c>
    </row>
    <row r="25" spans="1:5" x14ac:dyDescent="0.25">
      <c r="A25" s="2" t="s">
        <v>21</v>
      </c>
    </row>
    <row r="26" spans="1:5" ht="30" customHeight="1" x14ac:dyDescent="0.25">
      <c r="A26" s="5"/>
      <c r="B26" s="6" t="s">
        <v>22</v>
      </c>
      <c r="C26" s="6" t="s">
        <v>23</v>
      </c>
      <c r="D26" s="6" t="s">
        <v>24</v>
      </c>
      <c r="E26" s="6" t="s">
        <v>25</v>
      </c>
    </row>
    <row r="27" spans="1:5" x14ac:dyDescent="0.25">
      <c r="A27" s="8" t="s">
        <v>26</v>
      </c>
      <c r="B27" s="9">
        <f>COUNTIFS(Attendees!$M$2:$M$31,"Lack of information")</f>
        <v>7</v>
      </c>
      <c r="C27" s="10">
        <f>IF(ISNUMBER(B27),B27/$B$4,"n/a")</f>
        <v>0.23333333333333334</v>
      </c>
      <c r="D27" s="9">
        <f>COUNTIFS(NonAttendees!$N$2:$N$41,"Did not know about it")</f>
        <v>12</v>
      </c>
      <c r="E27" s="10">
        <f>D27/$B$5</f>
        <v>0.3</v>
      </c>
    </row>
    <row r="28" spans="1:5" x14ac:dyDescent="0.25">
      <c r="A28" s="8" t="s">
        <v>27</v>
      </c>
      <c r="B28" s="9" t="s">
        <v>19</v>
      </c>
      <c r="C28" s="10" t="str">
        <f>IF(ISNUMBER(B28),B28/$B$4,"n/a")</f>
        <v>n/a</v>
      </c>
      <c r="D28" s="9">
        <f>COUNTIFS(NonAttendees!$N$2:$N$41,"Heard too late")</f>
        <v>5</v>
      </c>
      <c r="E28" s="10">
        <f>D28/$B$5</f>
        <v>0.125</v>
      </c>
    </row>
    <row r="29" spans="1:5" x14ac:dyDescent="0.25">
      <c r="A29" s="11" t="s">
        <v>28</v>
      </c>
      <c r="B29" s="12">
        <f>B27</f>
        <v>7</v>
      </c>
      <c r="C29" s="13">
        <f>B29/$B$4</f>
        <v>0.23333333333333334</v>
      </c>
      <c r="D29" s="12">
        <f>D27+D28</f>
        <v>17</v>
      </c>
      <c r="E29" s="13">
        <f>D29/$B$5</f>
        <v>0.42499999999999999</v>
      </c>
    </row>
    <row r="32" spans="1:5" x14ac:dyDescent="0.25">
      <c r="A32" s="4" t="s">
        <v>29</v>
      </c>
    </row>
    <row r="33" spans="1:5" x14ac:dyDescent="0.25">
      <c r="A33" s="2" t="s">
        <v>30</v>
      </c>
    </row>
    <row r="34" spans="1:5" ht="30" customHeight="1" x14ac:dyDescent="0.25">
      <c r="A34" s="5"/>
      <c r="B34" s="6" t="s">
        <v>22</v>
      </c>
      <c r="C34" s="6" t="s">
        <v>23</v>
      </c>
      <c r="D34" s="6" t="s">
        <v>24</v>
      </c>
      <c r="E34" s="6" t="s">
        <v>25</v>
      </c>
    </row>
    <row r="35" spans="1:5" x14ac:dyDescent="0.25">
      <c r="A35" s="8" t="s">
        <v>31</v>
      </c>
      <c r="B35" s="9">
        <f>COUNTIFS(Attendees!$M$2:$M$31,"Lack of information")</f>
        <v>7</v>
      </c>
      <c r="C35" s="10">
        <f t="shared" ref="C35:C45" si="0">IF(ISNUMBER(B35),B35/$B$4,"n/a")</f>
        <v>0.23333333333333334</v>
      </c>
      <c r="D35" s="9">
        <f>COUNTIFS(NonAttendees!$N$2:$N$41,"Did not know about it")</f>
        <v>12</v>
      </c>
      <c r="E35" s="10">
        <f t="shared" ref="E35:E45" si="1">IF(ISNUMBER(D35),D35/$B$5,"n/a")</f>
        <v>0.3</v>
      </c>
    </row>
    <row r="36" spans="1:5" x14ac:dyDescent="0.25">
      <c r="A36" s="8" t="s">
        <v>32</v>
      </c>
      <c r="B36" s="9" t="s">
        <v>19</v>
      </c>
      <c r="C36" s="10" t="str">
        <f t="shared" si="0"/>
        <v>n/a</v>
      </c>
      <c r="D36" s="9">
        <f>COUNTIFS(NonAttendees!$N$2:$N$41,"Heard too late")</f>
        <v>5</v>
      </c>
      <c r="E36" s="10">
        <f t="shared" si="1"/>
        <v>0.125</v>
      </c>
    </row>
    <row r="37" spans="1:5" x14ac:dyDescent="0.25">
      <c r="A37" s="8" t="s">
        <v>33</v>
      </c>
      <c r="B37" s="9">
        <f>COUNTIFS(Attendees!$M$2:$M$31,"Distance/transport cost")</f>
        <v>4</v>
      </c>
      <c r="C37" s="10">
        <f t="shared" si="0"/>
        <v>0.13333333333333333</v>
      </c>
      <c r="D37" s="9">
        <f>COUNTIFS(NonAttendees!$N$2:$N$41,"Distance/transport cost")</f>
        <v>6</v>
      </c>
      <c r="E37" s="10">
        <f t="shared" si="1"/>
        <v>0.15</v>
      </c>
    </row>
    <row r="38" spans="1:5" x14ac:dyDescent="0.25">
      <c r="A38" s="8" t="s">
        <v>34</v>
      </c>
      <c r="B38" s="9">
        <f>COUNTIFS(Attendees!$M$2:$M$31,"Work/household responsibilities")</f>
        <v>2</v>
      </c>
      <c r="C38" s="10">
        <f t="shared" si="0"/>
        <v>6.6666666666666666E-2</v>
      </c>
      <c r="D38" s="9">
        <f>COUNTIFS(NonAttendees!$N$2:$N$41,"Work/household responsibilities")</f>
        <v>5</v>
      </c>
      <c r="E38" s="10">
        <f t="shared" si="1"/>
        <v>0.125</v>
      </c>
    </row>
    <row r="39" spans="1:5" x14ac:dyDescent="0.25">
      <c r="A39" s="8" t="s">
        <v>35</v>
      </c>
      <c r="B39" s="9">
        <f>COUNTIFS(Attendees!$M$2:$M$31,"Language/communication")</f>
        <v>4</v>
      </c>
      <c r="C39" s="10">
        <f t="shared" si="0"/>
        <v>0.13333333333333333</v>
      </c>
      <c r="D39" s="9">
        <f>COUNTIFS(NonAttendees!$N$2:$N$41,"Language/communication")</f>
        <v>2</v>
      </c>
      <c r="E39" s="10">
        <f t="shared" si="1"/>
        <v>0.05</v>
      </c>
    </row>
    <row r="40" spans="1:5" x14ac:dyDescent="0.25">
      <c r="A40" s="8" t="s">
        <v>36</v>
      </c>
      <c r="B40" s="9">
        <f>COUNTIFS(Attendees!$M$2:$M$31,"Previous bad service experience")</f>
        <v>2</v>
      </c>
      <c r="C40" s="10">
        <f t="shared" si="0"/>
        <v>6.6666666666666666E-2</v>
      </c>
      <c r="D40" s="9">
        <f>COUNTIFS(NonAttendees!$N$2:$N$41,"Previous bad service experience")</f>
        <v>3</v>
      </c>
      <c r="E40" s="10">
        <f t="shared" si="1"/>
        <v>7.4999999999999997E-2</v>
      </c>
    </row>
    <row r="41" spans="1:5" x14ac:dyDescent="0.25">
      <c r="A41" s="8" t="s">
        <v>37</v>
      </c>
      <c r="B41" s="9">
        <f>COUNTIFS(Attendees!$M$2:$M$31,"Cost of other related services")</f>
        <v>1</v>
      </c>
      <c r="C41" s="10">
        <f t="shared" si="0"/>
        <v>3.3333333333333333E-2</v>
      </c>
      <c r="D41" s="9" t="s">
        <v>19</v>
      </c>
      <c r="E41" s="10" t="str">
        <f t="shared" si="1"/>
        <v>n/a</v>
      </c>
    </row>
    <row r="42" spans="1:5" x14ac:dyDescent="0.25">
      <c r="A42" s="8" t="s">
        <v>38</v>
      </c>
      <c r="B42" s="9" t="s">
        <v>19</v>
      </c>
      <c r="C42" s="10" t="str">
        <f t="shared" si="0"/>
        <v>n/a</v>
      </c>
      <c r="D42" s="9">
        <f>COUNTIFS(NonAttendees!$N$2:$N$41,"Concern about the service")</f>
        <v>3</v>
      </c>
      <c r="E42" s="10">
        <f t="shared" si="1"/>
        <v>7.4999999999999997E-2</v>
      </c>
    </row>
    <row r="43" spans="1:5" x14ac:dyDescent="0.25">
      <c r="A43" s="8" t="s">
        <v>39</v>
      </c>
      <c r="B43" s="9" t="s">
        <v>19</v>
      </c>
      <c r="C43" s="10" t="str">
        <f t="shared" si="0"/>
        <v>n/a</v>
      </c>
      <c r="D43" s="9">
        <f>COUNTIFS(NonAttendees!$N$2:$N$41,"Heard waiting time was long")</f>
        <v>2</v>
      </c>
      <c r="E43" s="10">
        <f t="shared" si="1"/>
        <v>0.05</v>
      </c>
    </row>
    <row r="44" spans="1:5" x14ac:dyDescent="0.25">
      <c r="A44" s="8" t="s">
        <v>40</v>
      </c>
      <c r="B44" s="9" t="s">
        <v>19</v>
      </c>
      <c r="C44" s="10" t="str">
        <f t="shared" si="0"/>
        <v>n/a</v>
      </c>
      <c r="D44" s="9">
        <f>COUNTIFS(NonAttendees!$N$2:$N$41,"Was unwell or away")</f>
        <v>2</v>
      </c>
      <c r="E44" s="10">
        <f t="shared" si="1"/>
        <v>0.05</v>
      </c>
    </row>
    <row r="45" spans="1:5" x14ac:dyDescent="0.25">
      <c r="A45" s="8" t="s">
        <v>41</v>
      </c>
      <c r="B45" s="9">
        <f>COUNTIFS(Attendees!$M$2:$M$31,"No major barrier")</f>
        <v>10</v>
      </c>
      <c r="C45" s="10">
        <f t="shared" si="0"/>
        <v>0.33333333333333331</v>
      </c>
      <c r="D45" s="9" t="s">
        <v>19</v>
      </c>
      <c r="E45" s="10" t="str">
        <f t="shared" si="1"/>
        <v>n/a</v>
      </c>
    </row>
    <row r="46" spans="1:5" x14ac:dyDescent="0.25">
      <c r="A46" s="11" t="s">
        <v>42</v>
      </c>
      <c r="B46" s="12">
        <f>SUM(B35:B45)</f>
        <v>30</v>
      </c>
      <c r="C46" s="13">
        <f>B46/$B$4</f>
        <v>1</v>
      </c>
      <c r="D46" s="12">
        <f>SUM(D35:D45)</f>
        <v>40</v>
      </c>
      <c r="E46" s="13">
        <f>D46/$B$5</f>
        <v>1</v>
      </c>
    </row>
    <row r="49" spans="1:5" x14ac:dyDescent="0.25">
      <c r="A49" s="4" t="s">
        <v>43</v>
      </c>
    </row>
    <row r="50" spans="1:5" x14ac:dyDescent="0.25">
      <c r="A50" s="2" t="s">
        <v>44</v>
      </c>
    </row>
    <row r="51" spans="1:5" ht="30" customHeight="1" x14ac:dyDescent="0.25">
      <c r="A51" s="5"/>
      <c r="B51" s="6" t="s">
        <v>45</v>
      </c>
      <c r="C51" s="6" t="s">
        <v>46</v>
      </c>
      <c r="D51" s="6" t="s">
        <v>47</v>
      </c>
      <c r="E51" s="6" t="s">
        <v>48</v>
      </c>
    </row>
    <row r="52" spans="1:5" x14ac:dyDescent="0.25">
      <c r="A52" s="8" t="s">
        <v>49</v>
      </c>
      <c r="B52" s="9">
        <f>COUNTIFS(Attendees!$C$2:$C$31,"Kusugu",Attendees!$M$2:$M$31,"Lack of information")</f>
        <v>5</v>
      </c>
      <c r="C52" s="9">
        <f>COUNTIFS(Attendees!$C$2:$C$31,"Kusugu")</f>
        <v>15</v>
      </c>
      <c r="D52" s="9">
        <f>COUNTIFS(Attendees!$C$2:$C$31,"Sarkin Yara",Attendees!$M$2:$M$31,"Lack of information")</f>
        <v>2</v>
      </c>
      <c r="E52" s="9">
        <f>COUNTIFS(Attendees!$C$2:$C$31,"Sarkin Yara")</f>
        <v>15</v>
      </c>
    </row>
    <row r="53" spans="1:5" x14ac:dyDescent="0.25">
      <c r="A53" s="8" t="s">
        <v>50</v>
      </c>
      <c r="B53" s="9">
        <f>COUNTIFS(NonAttendees!$E$2:$E$41,"Kusugu",NonAttendees!$L$2:$L$41,"No")</f>
        <v>4</v>
      </c>
      <c r="C53" s="9">
        <f>COUNTIFS(NonAttendees!$E$2:$E$41,"Kusugu")</f>
        <v>20</v>
      </c>
      <c r="D53" s="9">
        <f>COUNTIFS(NonAttendees!$E$2:$E$41,"Sarkin Yara",NonAttendees!$L$2:$L$41,"No")</f>
        <v>8</v>
      </c>
      <c r="E53" s="9">
        <f>COUNTIFS(NonAttendees!$E$2:$E$41,"Sarkin Yara")</f>
        <v>20</v>
      </c>
    </row>
    <row r="54" spans="1:5" x14ac:dyDescent="0.25">
      <c r="A54" s="8" t="s">
        <v>51</v>
      </c>
      <c r="B54" s="9">
        <f>COUNTIFS(NonAttendees!$E$2:$E$41,"Kusugu",NonAttendees!$N$2:$N$41,"Did not know about it")+COUNTIFS(NonAttendees!$E$2:$E$41,"Kusugu",NonAttendees!$N$2:$N$41,"Heard too late")</f>
        <v>6</v>
      </c>
      <c r="C54" s="9">
        <f>COUNTIFS(NonAttendees!$E$2:$E$41,"Kusugu")</f>
        <v>20</v>
      </c>
      <c r="D54" s="9">
        <f>COUNTIFS(NonAttendees!$E$2:$E$41,"Sarkin Yara",NonAttendees!$N$2:$N$41,"Did not know about it")+COUNTIFS(NonAttendees!$E$2:$E$41,"Sarkin Yara",NonAttendees!$N$2:$N$41,"Heard too late")</f>
        <v>11</v>
      </c>
      <c r="E54" s="9">
        <f>COUNTIFS(NonAttendees!$E$2:$E$41,"Sarkin Yara")</f>
        <v>20</v>
      </c>
    </row>
    <row r="57" spans="1:5" x14ac:dyDescent="0.25">
      <c r="A57" s="4" t="s">
        <v>52</v>
      </c>
    </row>
    <row r="58" spans="1:5" x14ac:dyDescent="0.25">
      <c r="A58" s="2" t="s">
        <v>53</v>
      </c>
    </row>
    <row r="59" spans="1:5" ht="30" customHeight="1" x14ac:dyDescent="0.25">
      <c r="A59" s="5"/>
      <c r="B59" s="6" t="s">
        <v>54</v>
      </c>
      <c r="C59" s="6"/>
      <c r="D59" s="6" t="s">
        <v>55</v>
      </c>
      <c r="E59" s="6"/>
    </row>
    <row r="60" spans="1:5" x14ac:dyDescent="0.25">
      <c r="A60" s="8" t="s">
        <v>56</v>
      </c>
      <c r="B60" s="14">
        <f>COUNT(Attendees!$K$2:$K$31)</f>
        <v>29</v>
      </c>
      <c r="C60" s="8"/>
      <c r="D60" s="14">
        <f>COUNT(NonAttendees!$J$2:$J$41)</f>
        <v>38</v>
      </c>
      <c r="E60" s="8"/>
    </row>
    <row r="61" spans="1:5" x14ac:dyDescent="0.25">
      <c r="A61" s="8" t="s">
        <v>57</v>
      </c>
      <c r="B61" s="15">
        <f>MEDIAN(Attendees!$K$2:$K$31)</f>
        <v>2.2999999999999998</v>
      </c>
      <c r="C61" s="8"/>
      <c r="D61" s="15">
        <f>MEDIAN(NonAttendees!$J$2:$J$41)</f>
        <v>3.65</v>
      </c>
      <c r="E61" s="8"/>
    </row>
    <row r="62" spans="1:5" x14ac:dyDescent="0.25">
      <c r="A62" s="8" t="s">
        <v>58</v>
      </c>
      <c r="B62" s="16">
        <f>MIN(Attendees!$K$2:$K$31)</f>
        <v>0.8</v>
      </c>
      <c r="C62" s="8"/>
      <c r="D62" s="16">
        <f>MIN(NonAttendees!$J$2:$J$41)</f>
        <v>0.8</v>
      </c>
      <c r="E62" s="8"/>
    </row>
    <row r="63" spans="1:5" x14ac:dyDescent="0.25">
      <c r="A63" s="8" t="s">
        <v>59</v>
      </c>
      <c r="B63" s="16">
        <f>MAX(Attendees!$K$2:$K$31)</f>
        <v>8.1999999999999993</v>
      </c>
      <c r="C63" s="8"/>
      <c r="D63" s="16">
        <f>MAX(NonAttendees!$J$2:$J$41)</f>
        <v>9.3000000000000007</v>
      </c>
      <c r="E63" s="8"/>
    </row>
    <row r="64" spans="1:5" x14ac:dyDescent="0.25">
      <c r="A64" s="8" t="s">
        <v>60</v>
      </c>
      <c r="B64" s="14">
        <f>COUNT(Attendees!$L$2:$L$31)</f>
        <v>30</v>
      </c>
      <c r="C64" s="8"/>
      <c r="D64" s="14">
        <f>COUNT(NonAttendees!$K$2:$K$41)</f>
        <v>39</v>
      </c>
      <c r="E64" s="8"/>
    </row>
    <row r="65" spans="1:6" x14ac:dyDescent="0.25">
      <c r="A65" s="8" t="s">
        <v>61</v>
      </c>
      <c r="B65" s="15">
        <f>MEDIAN(Attendees!$L$2:$L$31)</f>
        <v>33</v>
      </c>
      <c r="C65" s="8"/>
      <c r="D65" s="15">
        <f>MEDIAN(NonAttendees!$K$2:$K$41)</f>
        <v>45</v>
      </c>
      <c r="E65" s="8"/>
    </row>
    <row r="66" spans="1:6" x14ac:dyDescent="0.25">
      <c r="A66" s="8" t="s">
        <v>62</v>
      </c>
      <c r="B66" s="14">
        <f>MIN(Attendees!$L$2:$L$31)</f>
        <v>17</v>
      </c>
      <c r="C66" s="8"/>
      <c r="D66" s="14">
        <f>MIN(NonAttendees!$K$2:$K$41)</f>
        <v>20</v>
      </c>
      <c r="E66" s="8"/>
    </row>
    <row r="67" spans="1:6" x14ac:dyDescent="0.25">
      <c r="A67" s="8" t="s">
        <v>63</v>
      </c>
      <c r="B67" s="14">
        <f>MAX(Attendees!$L$2:$L$31)</f>
        <v>295</v>
      </c>
      <c r="C67" s="8"/>
      <c r="D67" s="14">
        <f>MAX(NonAttendees!$K$2:$K$41)</f>
        <v>89</v>
      </c>
      <c r="E67" s="8"/>
    </row>
    <row r="70" spans="1:6" x14ac:dyDescent="0.25">
      <c r="A70" s="4" t="s">
        <v>64</v>
      </c>
    </row>
    <row r="71" spans="1:6" x14ac:dyDescent="0.25">
      <c r="A71" s="2" t="s">
        <v>65</v>
      </c>
    </row>
    <row r="72" spans="1:6" ht="30" customHeight="1" x14ac:dyDescent="0.25">
      <c r="A72" s="5"/>
      <c r="B72" s="6" t="s">
        <v>22</v>
      </c>
      <c r="C72" s="6" t="s">
        <v>23</v>
      </c>
      <c r="D72" s="6" t="s">
        <v>24</v>
      </c>
      <c r="E72" s="6" t="s">
        <v>25</v>
      </c>
      <c r="F72" s="6" t="s">
        <v>66</v>
      </c>
    </row>
    <row r="73" spans="1:6" x14ac:dyDescent="0.25">
      <c r="A73" s="11" t="s">
        <v>67</v>
      </c>
      <c r="B73" s="17"/>
      <c r="C73" s="17"/>
      <c r="D73" s="12">
        <f>COUNTIFS(NonAttendees!$L$2:$L$41,"Yes")</f>
        <v>28</v>
      </c>
      <c r="E73" s="17"/>
      <c r="F73" s="17"/>
    </row>
    <row r="74" spans="1:6" x14ac:dyDescent="0.25">
      <c r="A74" s="8" t="s">
        <v>68</v>
      </c>
      <c r="B74" s="9">
        <f>COUNTIFS(Attendees!$J$2:$J$31,"CHW")</f>
        <v>11</v>
      </c>
      <c r="C74" s="10">
        <f t="shared" ref="C74:C80" si="2">B74/$B$4</f>
        <v>0.36666666666666664</v>
      </c>
      <c r="D74" s="9">
        <f>COUNTIFS(NonAttendees!$M$2:$M$41,"CHW")</f>
        <v>10</v>
      </c>
      <c r="E74" s="10">
        <f t="shared" ref="E74:E82" si="3">D74/$B$5</f>
        <v>0.25</v>
      </c>
      <c r="F74" s="10">
        <f t="shared" ref="F74:F80" si="4">D74/$D$73</f>
        <v>0.35714285714285715</v>
      </c>
    </row>
    <row r="75" spans="1:6" x14ac:dyDescent="0.25">
      <c r="A75" s="8" t="s">
        <v>69</v>
      </c>
      <c r="B75" s="9">
        <f>COUNTIFS(Attendees!$J$2:$J$31,"Community leader")</f>
        <v>4</v>
      </c>
      <c r="C75" s="10">
        <f t="shared" si="2"/>
        <v>0.13333333333333333</v>
      </c>
      <c r="D75" s="9">
        <f>COUNTIFS(NonAttendees!$M$2:$M$41,"Community leader")</f>
        <v>7</v>
      </c>
      <c r="E75" s="10">
        <f t="shared" si="3"/>
        <v>0.17499999999999999</v>
      </c>
      <c r="F75" s="10">
        <f t="shared" si="4"/>
        <v>0.25</v>
      </c>
    </row>
    <row r="76" spans="1:6" x14ac:dyDescent="0.25">
      <c r="A76" s="8" t="s">
        <v>70</v>
      </c>
      <c r="B76" s="9">
        <f>COUNTIFS(Attendees!$J$2:$J$31,"Health facility")</f>
        <v>7</v>
      </c>
      <c r="C76" s="10">
        <f t="shared" si="2"/>
        <v>0.23333333333333334</v>
      </c>
      <c r="D76" s="9">
        <f>COUNTIFS(NonAttendees!$M$2:$M$41,"Health facility")</f>
        <v>4</v>
      </c>
      <c r="E76" s="10">
        <f t="shared" si="3"/>
        <v>0.1</v>
      </c>
      <c r="F76" s="10">
        <f t="shared" si="4"/>
        <v>0.14285714285714285</v>
      </c>
    </row>
    <row r="77" spans="1:6" x14ac:dyDescent="0.25">
      <c r="A77" s="8" t="s">
        <v>71</v>
      </c>
      <c r="B77" s="9">
        <f>COUNTIFS(Attendees!$J$2:$J$31,"Radio")</f>
        <v>3</v>
      </c>
      <c r="C77" s="10">
        <f t="shared" si="2"/>
        <v>0.1</v>
      </c>
      <c r="D77" s="9">
        <f>COUNTIFS(NonAttendees!$M$2:$M$41,"Radio")</f>
        <v>3</v>
      </c>
      <c r="E77" s="10">
        <f t="shared" si="3"/>
        <v>7.4999999999999997E-2</v>
      </c>
      <c r="F77" s="10">
        <f t="shared" si="4"/>
        <v>0.10714285714285714</v>
      </c>
    </row>
    <row r="78" spans="1:6" x14ac:dyDescent="0.25">
      <c r="A78" s="8" t="s">
        <v>72</v>
      </c>
      <c r="B78" s="9">
        <f>COUNTIFS(Attendees!$J$2:$J$31,"Family/friend")</f>
        <v>2</v>
      </c>
      <c r="C78" s="10">
        <f t="shared" si="2"/>
        <v>6.6666666666666666E-2</v>
      </c>
      <c r="D78" s="9">
        <f>COUNTIFS(NonAttendees!$M$2:$M$41,"Family/friend")</f>
        <v>2</v>
      </c>
      <c r="E78" s="10">
        <f t="shared" si="3"/>
        <v>0.05</v>
      </c>
      <c r="F78" s="10">
        <f t="shared" si="4"/>
        <v>7.1428571428571425E-2</v>
      </c>
    </row>
    <row r="79" spans="1:6" x14ac:dyDescent="0.25">
      <c r="A79" s="8" t="s">
        <v>73</v>
      </c>
      <c r="B79" s="9">
        <f>COUNTIFS(Attendees!$J$2:$J$31,"Religious/community group")</f>
        <v>2</v>
      </c>
      <c r="C79" s="10">
        <f t="shared" si="2"/>
        <v>6.6666666666666666E-2</v>
      </c>
      <c r="D79" s="9">
        <f>COUNTIFS(NonAttendees!$M$2:$M$41,"Religious/community group")</f>
        <v>1</v>
      </c>
      <c r="E79" s="10">
        <f t="shared" si="3"/>
        <v>2.5000000000000001E-2</v>
      </c>
      <c r="F79" s="10">
        <f t="shared" si="4"/>
        <v>3.5714285714285712E-2</v>
      </c>
    </row>
    <row r="80" spans="1:6" x14ac:dyDescent="0.25">
      <c r="A80" s="8" t="s">
        <v>74</v>
      </c>
      <c r="B80" s="9">
        <f>COUNTIFS(Attendees!$J$2:$J$31,"Social media")</f>
        <v>1</v>
      </c>
      <c r="C80" s="10">
        <f t="shared" si="2"/>
        <v>3.3333333333333333E-2</v>
      </c>
      <c r="D80" s="9">
        <f>COUNTIFS(NonAttendees!$M$2:$M$41,"Social media")</f>
        <v>1</v>
      </c>
      <c r="E80" s="10">
        <f t="shared" si="3"/>
        <v>2.5000000000000001E-2</v>
      </c>
      <c r="F80" s="10">
        <f t="shared" si="4"/>
        <v>3.5714285714285712E-2</v>
      </c>
    </row>
    <row r="81" spans="1:6" x14ac:dyDescent="0.25">
      <c r="A81" s="8" t="s">
        <v>75</v>
      </c>
      <c r="B81" s="9" t="s">
        <v>19</v>
      </c>
      <c r="C81" s="9" t="s">
        <v>19</v>
      </c>
      <c r="D81" s="9">
        <f>COUNTIFS(NonAttendees!$M$2:$M$41,"Did not hear about it")</f>
        <v>12</v>
      </c>
      <c r="E81" s="10">
        <f t="shared" si="3"/>
        <v>0.3</v>
      </c>
      <c r="F81" s="9" t="s">
        <v>19</v>
      </c>
    </row>
    <row r="82" spans="1:6" x14ac:dyDescent="0.25">
      <c r="A82" s="11" t="s">
        <v>76</v>
      </c>
      <c r="B82" s="12">
        <f>B74+B75</f>
        <v>15</v>
      </c>
      <c r="C82" s="13">
        <f>B82/$B$4</f>
        <v>0.5</v>
      </c>
      <c r="D82" s="12">
        <f>D74+D75</f>
        <v>17</v>
      </c>
      <c r="E82" s="13">
        <f t="shared" si="3"/>
        <v>0.42499999999999999</v>
      </c>
      <c r="F82" s="13">
        <f>D82/$D$73</f>
        <v>0.6071428571428571</v>
      </c>
    </row>
    <row r="85" spans="1:6" x14ac:dyDescent="0.25">
      <c r="A85" s="4" t="s">
        <v>77</v>
      </c>
    </row>
    <row r="86" spans="1:6" x14ac:dyDescent="0.25">
      <c r="A86" s="2" t="s">
        <v>78</v>
      </c>
    </row>
    <row r="87" spans="1:6" ht="30" customHeight="1" x14ac:dyDescent="0.25">
      <c r="A87" s="5"/>
      <c r="B87" s="6" t="s">
        <v>22</v>
      </c>
      <c r="C87" s="6" t="s">
        <v>79</v>
      </c>
      <c r="D87" s="6" t="s">
        <v>24</v>
      </c>
      <c r="E87" s="6" t="s">
        <v>25</v>
      </c>
    </row>
    <row r="88" spans="1:6" x14ac:dyDescent="0.25">
      <c r="A88" s="11" t="s">
        <v>80</v>
      </c>
      <c r="B88" s="12">
        <f>COUNTA(Attendees!$T$2:$T$31)</f>
        <v>29</v>
      </c>
      <c r="C88" s="17"/>
      <c r="D88" s="17"/>
      <c r="E88" s="17"/>
    </row>
    <row r="89" spans="1:6" x14ac:dyDescent="0.25">
      <c r="A89" s="8" t="s">
        <v>81</v>
      </c>
      <c r="B89" s="9">
        <f>COUNTIFS(Attendees!$T$2:$T$31,"Shorter waiting time")</f>
        <v>10</v>
      </c>
      <c r="C89" s="10">
        <f t="shared" ref="C89:C96" si="5">IF(ISNUMBER(B89),B89/$B$88,"n/a")</f>
        <v>0.34482758620689657</v>
      </c>
      <c r="D89" s="9">
        <f>COUNTIFS(NonAttendees!$P$2:$P$41,"Shorter waiting time")</f>
        <v>5</v>
      </c>
      <c r="E89" s="10">
        <f t="shared" ref="E89:E96" si="6">IF(ISNUMBER(D89),D89/$B$5,"n/a")</f>
        <v>0.125</v>
      </c>
    </row>
    <row r="90" spans="1:6" x14ac:dyDescent="0.25">
      <c r="A90" s="8" t="s">
        <v>82</v>
      </c>
      <c r="B90" s="9">
        <f>COUNTIFS(Attendees!$T$2:$T$31,"More outreach days")</f>
        <v>6</v>
      </c>
      <c r="C90" s="10">
        <f t="shared" si="5"/>
        <v>0.20689655172413793</v>
      </c>
      <c r="D90" s="9">
        <f>COUNTIFS(NonAttendees!$P$2:$P$41,"More outreach days")</f>
        <v>5</v>
      </c>
      <c r="E90" s="10">
        <f t="shared" si="6"/>
        <v>0.125</v>
      </c>
    </row>
    <row r="91" spans="1:6" x14ac:dyDescent="0.25">
      <c r="A91" s="8" t="s">
        <v>83</v>
      </c>
      <c r="B91" s="9">
        <f>COUNTIFS(Attendees!$T$2:$T$31,"Closer service point")</f>
        <v>6</v>
      </c>
      <c r="C91" s="10">
        <f t="shared" si="5"/>
        <v>0.20689655172413793</v>
      </c>
      <c r="D91" s="9">
        <f>COUNTIFS(NonAttendees!$P$2:$P$41,"Closer service point")</f>
        <v>9</v>
      </c>
      <c r="E91" s="10">
        <f t="shared" si="6"/>
        <v>0.22500000000000001</v>
      </c>
    </row>
    <row r="92" spans="1:6" x14ac:dyDescent="0.25">
      <c r="A92" s="8" t="s">
        <v>84</v>
      </c>
      <c r="B92" s="9">
        <f>COUNTIFS(Attendees!$T$2:$T$31,"More info before outreach")</f>
        <v>6</v>
      </c>
      <c r="C92" s="10">
        <f t="shared" si="5"/>
        <v>0.20689655172413793</v>
      </c>
      <c r="D92" s="9">
        <f>COUNTIFS(NonAttendees!$P$2:$P$41,"More info before outreach")</f>
        <v>8</v>
      </c>
      <c r="E92" s="10">
        <f t="shared" si="6"/>
        <v>0.2</v>
      </c>
    </row>
    <row r="93" spans="1:6" x14ac:dyDescent="0.25">
      <c r="A93" s="8" t="s">
        <v>85</v>
      </c>
      <c r="B93" s="9">
        <f>COUNTIFS(Attendees!$T$2:$T$31,"More privacy")</f>
        <v>0</v>
      </c>
      <c r="C93" s="10">
        <f t="shared" si="5"/>
        <v>0</v>
      </c>
      <c r="D93" s="9">
        <f>COUNTIFS(NonAttendees!$P$2:$P$41,"More privacy")</f>
        <v>2</v>
      </c>
      <c r="E93" s="10">
        <f t="shared" si="6"/>
        <v>0.05</v>
      </c>
    </row>
    <row r="94" spans="1:6" x14ac:dyDescent="0.25">
      <c r="A94" s="8" t="s">
        <v>86</v>
      </c>
      <c r="B94" s="9" t="s">
        <v>19</v>
      </c>
      <c r="C94" s="10" t="str">
        <f t="shared" si="5"/>
        <v>n/a</v>
      </c>
      <c r="D94" s="9">
        <f>COUNTIFS(NonAttendees!$P$2:$P$41,"Reminder call or SMS")</f>
        <v>6</v>
      </c>
      <c r="E94" s="10">
        <f t="shared" si="6"/>
        <v>0.15</v>
      </c>
    </row>
    <row r="95" spans="1:6" x14ac:dyDescent="0.25">
      <c r="A95" s="8" t="s">
        <v>87</v>
      </c>
      <c r="B95" s="9" t="s">
        <v>19</v>
      </c>
      <c r="C95" s="10" t="str">
        <f t="shared" si="5"/>
        <v>n/a</v>
      </c>
      <c r="D95" s="9">
        <f>COUNTIFS(NonAttendees!$P$2:$P$41,"Home visit by health worker")</f>
        <v>5</v>
      </c>
      <c r="E95" s="10">
        <f t="shared" si="6"/>
        <v>0.125</v>
      </c>
    </row>
    <row r="96" spans="1:6" x14ac:dyDescent="0.25">
      <c r="A96" s="8" t="s">
        <v>88</v>
      </c>
      <c r="B96" s="9">
        <f>COUNTIFS(Attendees!$T$2:$T$31,"No additional support")</f>
        <v>1</v>
      </c>
      <c r="C96" s="10">
        <f t="shared" si="5"/>
        <v>3.4482758620689655E-2</v>
      </c>
      <c r="D96" s="9" t="s">
        <v>19</v>
      </c>
      <c r="E96" s="10" t="str">
        <f t="shared" si="6"/>
        <v>n/a</v>
      </c>
    </row>
    <row r="99" spans="1:5" x14ac:dyDescent="0.25">
      <c r="A99" s="4" t="s">
        <v>89</v>
      </c>
    </row>
    <row r="100" spans="1:5" x14ac:dyDescent="0.25">
      <c r="A100" s="2" t="s">
        <v>90</v>
      </c>
    </row>
    <row r="101" spans="1:5" ht="42" customHeight="1" x14ac:dyDescent="0.25">
      <c r="A101" s="5"/>
      <c r="B101" s="6" t="s">
        <v>91</v>
      </c>
      <c r="C101" s="6" t="s">
        <v>23</v>
      </c>
      <c r="D101" s="6" t="s">
        <v>92</v>
      </c>
      <c r="E101" s="6" t="s">
        <v>25</v>
      </c>
    </row>
    <row r="102" spans="1:5" x14ac:dyDescent="0.25">
      <c r="A102" s="8" t="s">
        <v>93</v>
      </c>
      <c r="B102" s="9">
        <f>COUNTIFS(Attendees!$S$2:$S$31,"Yes")</f>
        <v>18</v>
      </c>
      <c r="C102" s="10">
        <f>B102/$B$4</f>
        <v>0.6</v>
      </c>
      <c r="D102" s="9">
        <f>COUNTIFS(NonAttendees!$O$2:$O$41,"Yes")</f>
        <v>20</v>
      </c>
      <c r="E102" s="10">
        <f>D102/$B$5</f>
        <v>0.5</v>
      </c>
    </row>
    <row r="103" spans="1:5" x14ac:dyDescent="0.25">
      <c r="A103" s="8" t="s">
        <v>94</v>
      </c>
      <c r="B103" s="9">
        <f>COUNTIFS(Attendees!$S$2:$S$31,"Maybe")</f>
        <v>9</v>
      </c>
      <c r="C103" s="10">
        <f>B103/$B$4</f>
        <v>0.3</v>
      </c>
      <c r="D103" s="9">
        <f>COUNTIFS(NonAttendees!$O$2:$O$41,"Maybe")</f>
        <v>14</v>
      </c>
      <c r="E103" s="10">
        <f>D103/$B$5</f>
        <v>0.35</v>
      </c>
    </row>
    <row r="104" spans="1:5" x14ac:dyDescent="0.25">
      <c r="A104" s="8" t="s">
        <v>95</v>
      </c>
      <c r="B104" s="9">
        <f>COUNTIFS(Attendees!$S$2:$S$31,"No")</f>
        <v>3</v>
      </c>
      <c r="C104" s="10">
        <f>B104/$B$4</f>
        <v>0.1</v>
      </c>
      <c r="D104" s="9">
        <f>COUNTIFS(NonAttendees!$O$2:$O$41,"No")</f>
        <v>6</v>
      </c>
      <c r="E104" s="10">
        <f>D104/$B$5</f>
        <v>0.15</v>
      </c>
    </row>
    <row r="106" spans="1:5" x14ac:dyDescent="0.25">
      <c r="A106" s="18" t="s">
        <v>96</v>
      </c>
    </row>
    <row r="107" spans="1:5" ht="30" customHeight="1" x14ac:dyDescent="0.25">
      <c r="A107" s="5"/>
      <c r="B107" s="6" t="s">
        <v>97</v>
      </c>
      <c r="C107" s="6" t="s">
        <v>98</v>
      </c>
      <c r="D107" s="6" t="s">
        <v>99</v>
      </c>
      <c r="E107" s="6" t="s">
        <v>100</v>
      </c>
    </row>
    <row r="108" spans="1:5" x14ac:dyDescent="0.25">
      <c r="A108" s="11" t="s">
        <v>101</v>
      </c>
      <c r="B108" s="12">
        <f>COUNTIFS(NonAttendees!$L$2:$L$41,"No")</f>
        <v>12</v>
      </c>
      <c r="C108" s="17"/>
      <c r="D108" s="12">
        <f>COUNTIFS(NonAttendees!$L$2:$L$41,"Yes")</f>
        <v>28</v>
      </c>
      <c r="E108" s="17"/>
    </row>
    <row r="109" spans="1:5" x14ac:dyDescent="0.25">
      <c r="A109" s="8" t="s">
        <v>102</v>
      </c>
      <c r="B109" s="9">
        <f>COUNTIFS(NonAttendees!$L$2:$L$41,"No",NonAttendees!$O$2:$O$41,"Yes")</f>
        <v>6</v>
      </c>
      <c r="C109" s="10">
        <f>B109/$B$108</f>
        <v>0.5</v>
      </c>
      <c r="D109" s="9">
        <f>COUNTIFS(NonAttendees!$L$2:$L$41,"Yes",NonAttendees!$O$2:$O$41,"Yes")</f>
        <v>14</v>
      </c>
      <c r="E109" s="10">
        <f>D109/$D$108</f>
        <v>0.5</v>
      </c>
    </row>
    <row r="110" spans="1:5" x14ac:dyDescent="0.25">
      <c r="A110" s="8" t="s">
        <v>103</v>
      </c>
      <c r="B110" s="9">
        <f>COUNTIFS(NonAttendees!$L$2:$L$41,"No",NonAttendees!$O$2:$O$41,"Maybe")</f>
        <v>4</v>
      </c>
      <c r="C110" s="10">
        <f>B110/$B$108</f>
        <v>0.33333333333333331</v>
      </c>
      <c r="D110" s="9">
        <f>COUNTIFS(NonAttendees!$L$2:$L$41,"Yes",NonAttendees!$O$2:$O$41,"Maybe")</f>
        <v>10</v>
      </c>
      <c r="E110" s="10">
        <f>D110/$D$108</f>
        <v>0.35714285714285715</v>
      </c>
    </row>
    <row r="111" spans="1:5" x14ac:dyDescent="0.25">
      <c r="A111" s="8" t="s">
        <v>104</v>
      </c>
      <c r="B111" s="9">
        <f>COUNTIFS(NonAttendees!$L$2:$L$41,"No",NonAttendees!$O$2:$O$41,"No")</f>
        <v>2</v>
      </c>
      <c r="C111" s="10">
        <f>B111/$B$108</f>
        <v>0.16666666666666666</v>
      </c>
      <c r="D111" s="9">
        <f>COUNTIFS(NonAttendees!$L$2:$L$41,"Yes",NonAttendees!$O$2:$O$41,"No")</f>
        <v>4</v>
      </c>
      <c r="E111" s="10">
        <f>D111/$D$108</f>
        <v>0.14285714285714285</v>
      </c>
    </row>
    <row r="114" spans="1:5" x14ac:dyDescent="0.25">
      <c r="A114" s="4" t="s">
        <v>105</v>
      </c>
    </row>
    <row r="115" spans="1:5" x14ac:dyDescent="0.25">
      <c r="A115" s="2" t="s">
        <v>106</v>
      </c>
    </row>
    <row r="116" spans="1:5" ht="30" customHeight="1" x14ac:dyDescent="0.25">
      <c r="A116" s="5" t="s">
        <v>107</v>
      </c>
      <c r="B116" s="6" t="s">
        <v>108</v>
      </c>
      <c r="C116" s="6" t="s">
        <v>109</v>
      </c>
    </row>
    <row r="117" spans="1:5" x14ac:dyDescent="0.25">
      <c r="A117" s="8" t="s">
        <v>110</v>
      </c>
      <c r="B117" s="9">
        <f>COUNTIFS(Attendees!$P$2:$P$31,"&lt;=30")</f>
        <v>7</v>
      </c>
      <c r="C117" s="19">
        <f>AVERAGEIFS(Attendees!$Q$2:$Q$31,Attendees!$P$2:$P$31,"&lt;=30")</f>
        <v>3.1428571428571428</v>
      </c>
    </row>
    <row r="118" spans="1:5" x14ac:dyDescent="0.25">
      <c r="A118" s="8" t="s">
        <v>111</v>
      </c>
      <c r="B118" s="9">
        <f>COUNTIFS(Attendees!$P$2:$P$31,"&gt;30",Attendees!$P$2:$P$31,"&lt;=45")</f>
        <v>6</v>
      </c>
      <c r="C118" s="19">
        <f>AVERAGEIFS(Attendees!$Q$2:$Q$31,Attendees!$P$2:$P$31,"&gt;30",Attendees!$P$2:$P$31,"&lt;=45")</f>
        <v>3.3333333333333335</v>
      </c>
    </row>
    <row r="119" spans="1:5" x14ac:dyDescent="0.25">
      <c r="A119" s="8" t="s">
        <v>112</v>
      </c>
      <c r="B119" s="9">
        <f>COUNTIFS(Attendees!$P$2:$P$31,"&gt;45",Attendees!$P$2:$P$31,"&lt;=60")</f>
        <v>9</v>
      </c>
      <c r="C119" s="19">
        <f>AVERAGEIFS(Attendees!$Q$2:$Q$31,Attendees!$P$2:$P$31,"&gt;45",Attendees!$P$2:$P$31,"&lt;=60")</f>
        <v>3.2222222222222223</v>
      </c>
    </row>
    <row r="120" spans="1:5" x14ac:dyDescent="0.25">
      <c r="A120" s="8" t="s">
        <v>113</v>
      </c>
      <c r="B120" s="9">
        <f>COUNTIFS(Attendees!$P$2:$P$31,"&gt;60")</f>
        <v>7</v>
      </c>
      <c r="C120" s="19">
        <f>AVERAGEIFS(Attendees!$Q$2:$Q$31,Attendees!$P$2:$P$31,"&gt;60")</f>
        <v>2.8571428571428572</v>
      </c>
    </row>
    <row r="121" spans="1:5" x14ac:dyDescent="0.25">
      <c r="A121" s="11" t="s">
        <v>114</v>
      </c>
      <c r="B121" s="12">
        <f>SUM(B117:B120)</f>
        <v>29</v>
      </c>
      <c r="C121" s="20">
        <f>AVERAGEIFS(Attendees!$Q$2:$Q$31,Attendees!$P$2:$P$31,"&gt;=0")</f>
        <v>3.1379310344827585</v>
      </c>
    </row>
    <row r="122" spans="1:5" x14ac:dyDescent="0.25">
      <c r="A122" s="8" t="s">
        <v>115</v>
      </c>
      <c r="B122" s="9">
        <f>COUNTBLANK(Attendees!$P$2:$P$31)</f>
        <v>1</v>
      </c>
      <c r="C122" s="8" t="s">
        <v>116</v>
      </c>
    </row>
    <row r="123" spans="1:5" x14ac:dyDescent="0.25">
      <c r="A123" s="8" t="s">
        <v>117</v>
      </c>
      <c r="B123" s="10">
        <f>B120/B121</f>
        <v>0.2413793103448276</v>
      </c>
    </row>
    <row r="126" spans="1:5" x14ac:dyDescent="0.25">
      <c r="A126" s="4" t="s">
        <v>118</v>
      </c>
    </row>
    <row r="127" spans="1:5" x14ac:dyDescent="0.25">
      <c r="A127" s="2" t="s">
        <v>119</v>
      </c>
    </row>
    <row r="128" spans="1:5" ht="30" customHeight="1" x14ac:dyDescent="0.25">
      <c r="A128" s="5"/>
      <c r="B128" s="6" t="s">
        <v>22</v>
      </c>
      <c r="C128" s="6" t="s">
        <v>23</v>
      </c>
      <c r="D128" s="6" t="s">
        <v>24</v>
      </c>
      <c r="E128" s="6" t="s">
        <v>25</v>
      </c>
    </row>
    <row r="129" spans="1:5" x14ac:dyDescent="0.25">
      <c r="A129" s="11" t="s">
        <v>120</v>
      </c>
      <c r="B129" s="17"/>
      <c r="C129" s="17"/>
      <c r="D129" s="17"/>
      <c r="E129" s="17"/>
    </row>
    <row r="130" spans="1:5" x14ac:dyDescent="0.25">
      <c r="A130" s="8" t="s">
        <v>121</v>
      </c>
      <c r="B130" s="9">
        <f>COUNTIFS(Attendees!$F$2:$F$31,"Parent/Guardian/Caregiver")</f>
        <v>26</v>
      </c>
      <c r="C130" s="10">
        <f>B130/$B$4</f>
        <v>0.8666666666666667</v>
      </c>
      <c r="D130" s="9">
        <f>COUNTIFS(NonAttendees!$F$2:$F$41,"Parent/Guardian/Caregiver")</f>
        <v>34</v>
      </c>
      <c r="E130" s="10">
        <f>D130/$B$5</f>
        <v>0.85</v>
      </c>
    </row>
    <row r="131" spans="1:5" x14ac:dyDescent="0.25">
      <c r="A131" s="8" t="s">
        <v>122</v>
      </c>
      <c r="B131" s="9">
        <f>COUNTIFS(Attendees!$F$2:$F$31,"Self")</f>
        <v>4</v>
      </c>
      <c r="C131" s="10">
        <f>B131/$B$4</f>
        <v>0.13333333333333333</v>
      </c>
      <c r="D131" s="9">
        <f>COUNTIFS(NonAttendees!$F$2:$F$41,"Self")</f>
        <v>6</v>
      </c>
      <c r="E131" s="10">
        <f>D131/$B$5</f>
        <v>0.15</v>
      </c>
    </row>
    <row r="132" spans="1:5" x14ac:dyDescent="0.25">
      <c r="A132" s="11" t="s">
        <v>123</v>
      </c>
      <c r="B132" s="17"/>
      <c r="C132" s="17"/>
      <c r="D132" s="17"/>
      <c r="E132" s="17"/>
    </row>
    <row r="133" spans="1:5" x14ac:dyDescent="0.25">
      <c r="A133" s="8" t="s">
        <v>124</v>
      </c>
      <c r="B133" s="9">
        <f>COUNTIFS(Attendees!$E$2:$E$31,"Female")</f>
        <v>16</v>
      </c>
      <c r="C133" s="10">
        <f>B133/$B$4</f>
        <v>0.53333333333333333</v>
      </c>
      <c r="D133" s="9">
        <f>COUNTIFS(NonAttendees!$G$2:$G$41,"Female")</f>
        <v>24</v>
      </c>
      <c r="E133" s="10">
        <f>D133/$B$5</f>
        <v>0.6</v>
      </c>
    </row>
    <row r="134" spans="1:5" x14ac:dyDescent="0.25">
      <c r="A134" s="8" t="s">
        <v>125</v>
      </c>
      <c r="B134" s="9">
        <f>COUNTIFS(Attendees!$E$2:$E$31,"Male")</f>
        <v>14</v>
      </c>
      <c r="C134" s="10">
        <f>B134/$B$4</f>
        <v>0.46666666666666667</v>
      </c>
      <c r="D134" s="9">
        <f>COUNTIFS(NonAttendees!$G$2:$G$41,"Male")</f>
        <v>16</v>
      </c>
      <c r="E134" s="10">
        <f>D134/$B$5</f>
        <v>0.4</v>
      </c>
    </row>
    <row r="135" spans="1:5" x14ac:dyDescent="0.25">
      <c r="A135" s="11" t="s">
        <v>126</v>
      </c>
      <c r="B135" s="17"/>
      <c r="C135" s="17"/>
      <c r="D135" s="17"/>
      <c r="E135" s="17"/>
    </row>
    <row r="136" spans="1:5" x14ac:dyDescent="0.25">
      <c r="A136" s="8" t="s">
        <v>127</v>
      </c>
      <c r="B136" s="9">
        <f>COUNTIFS(Attendees!$D$2:$D$31,"Under 1")</f>
        <v>12</v>
      </c>
      <c r="C136" s="10">
        <f t="shared" ref="C136:C143" si="7">B136/$B$4</f>
        <v>0.4</v>
      </c>
      <c r="D136" s="9">
        <f>COUNTIFS(NonAttendees!$H$2:$H$41,"Under 1")</f>
        <v>13</v>
      </c>
      <c r="E136" s="10">
        <f t="shared" ref="E136:E143" si="8">D136/$B$5</f>
        <v>0.32500000000000001</v>
      </c>
    </row>
    <row r="137" spans="1:5" x14ac:dyDescent="0.25">
      <c r="A137" s="8" t="s">
        <v>128</v>
      </c>
      <c r="B137" s="9">
        <f>COUNTIFS(Attendees!$D$2:$D$31,"1–4")</f>
        <v>7</v>
      </c>
      <c r="C137" s="10">
        <f t="shared" si="7"/>
        <v>0.23333333333333334</v>
      </c>
      <c r="D137" s="9">
        <f>COUNTIFS(NonAttendees!$H$2:$H$41,"1–4")</f>
        <v>13</v>
      </c>
      <c r="E137" s="10">
        <f t="shared" si="8"/>
        <v>0.32500000000000001</v>
      </c>
    </row>
    <row r="138" spans="1:5" x14ac:dyDescent="0.25">
      <c r="A138" s="8" t="s">
        <v>129</v>
      </c>
      <c r="B138" s="9">
        <f>COUNTIFS(Attendees!$D$2:$D$31,"5–9")</f>
        <v>6</v>
      </c>
      <c r="C138" s="10">
        <f t="shared" si="7"/>
        <v>0.2</v>
      </c>
      <c r="D138" s="9">
        <f>COUNTIFS(NonAttendees!$H$2:$H$41,"5–9")</f>
        <v>4</v>
      </c>
      <c r="E138" s="10">
        <f t="shared" si="8"/>
        <v>0.1</v>
      </c>
    </row>
    <row r="139" spans="1:5" x14ac:dyDescent="0.25">
      <c r="A139" s="8" t="s">
        <v>130</v>
      </c>
      <c r="B139" s="9">
        <f>COUNTIFS(Attendees!$D$2:$D$31,"10–17")</f>
        <v>2</v>
      </c>
      <c r="C139" s="10">
        <f t="shared" si="7"/>
        <v>6.6666666666666666E-2</v>
      </c>
      <c r="D139" s="9">
        <f>COUNTIFS(NonAttendees!$H$2:$H$41,"10–17")</f>
        <v>4</v>
      </c>
      <c r="E139" s="10">
        <f t="shared" si="8"/>
        <v>0.1</v>
      </c>
    </row>
    <row r="140" spans="1:5" x14ac:dyDescent="0.25">
      <c r="A140" s="8" t="s">
        <v>131</v>
      </c>
      <c r="B140" s="9">
        <f>COUNTIFS(Attendees!$D$2:$D$31,"18–24")</f>
        <v>0</v>
      </c>
      <c r="C140" s="10">
        <f t="shared" si="7"/>
        <v>0</v>
      </c>
      <c r="D140" s="9">
        <f>COUNTIFS(NonAttendees!$H$2:$H$41,"18–24")</f>
        <v>2</v>
      </c>
      <c r="E140" s="10">
        <f t="shared" si="8"/>
        <v>0.05</v>
      </c>
    </row>
    <row r="141" spans="1:5" x14ac:dyDescent="0.25">
      <c r="A141" s="8" t="s">
        <v>132</v>
      </c>
      <c r="B141" s="9">
        <f>COUNTIFS(Attendees!$D$2:$D$31,"25–34")</f>
        <v>2</v>
      </c>
      <c r="C141" s="10">
        <f t="shared" si="7"/>
        <v>6.6666666666666666E-2</v>
      </c>
      <c r="D141" s="9">
        <f>COUNTIFS(NonAttendees!$H$2:$H$41,"25–34")</f>
        <v>2</v>
      </c>
      <c r="E141" s="10">
        <f t="shared" si="8"/>
        <v>0.05</v>
      </c>
    </row>
    <row r="142" spans="1:5" x14ac:dyDescent="0.25">
      <c r="A142" s="8" t="s">
        <v>133</v>
      </c>
      <c r="B142" s="9">
        <f>COUNTIFS(Attendees!$D$2:$D$31,"35–44")</f>
        <v>0</v>
      </c>
      <c r="C142" s="10">
        <f t="shared" si="7"/>
        <v>0</v>
      </c>
      <c r="D142" s="9">
        <f>COUNTIFS(NonAttendees!$H$2:$H$41,"35–44")</f>
        <v>1</v>
      </c>
      <c r="E142" s="10">
        <f t="shared" si="8"/>
        <v>2.5000000000000001E-2</v>
      </c>
    </row>
    <row r="143" spans="1:5" x14ac:dyDescent="0.25">
      <c r="A143" s="8" t="s">
        <v>134</v>
      </c>
      <c r="B143" s="9">
        <f>COUNTIFS(Attendees!$D$2:$D$31,"45+")</f>
        <v>1</v>
      </c>
      <c r="C143" s="10">
        <f t="shared" si="7"/>
        <v>3.3333333333333333E-2</v>
      </c>
      <c r="D143" s="9">
        <f>COUNTIFS(NonAttendees!$H$2:$H$41,"45+")</f>
        <v>1</v>
      </c>
      <c r="E143" s="10">
        <f t="shared" si="8"/>
        <v>2.5000000000000001E-2</v>
      </c>
    </row>
    <row r="144" spans="1:5" x14ac:dyDescent="0.25">
      <c r="A144" s="11" t="s">
        <v>135</v>
      </c>
      <c r="B144" s="17"/>
      <c r="C144" s="17"/>
      <c r="D144" s="17"/>
      <c r="E144" s="17"/>
    </row>
    <row r="145" spans="1:5" x14ac:dyDescent="0.25">
      <c r="A145" s="8" t="s">
        <v>136</v>
      </c>
      <c r="B145" s="9">
        <f>COUNTIFS(Attendees!$G$2:$G$31,"Routine Immunization")</f>
        <v>16</v>
      </c>
      <c r="C145" s="10">
        <f>B145/$B$4</f>
        <v>0.53333333333333333</v>
      </c>
      <c r="D145" s="9">
        <f>COUNTIFS(NonAttendees!$I$2:$I$41,"Routine Immunization")</f>
        <v>14</v>
      </c>
      <c r="E145" s="10">
        <f>D145/$B$5</f>
        <v>0.35</v>
      </c>
    </row>
    <row r="146" spans="1:5" x14ac:dyDescent="0.25">
      <c r="A146" s="8" t="s">
        <v>137</v>
      </c>
      <c r="B146" s="9">
        <f>COUNTIFS(Attendees!$G$2:$G$31,"Catch-up Immunization")</f>
        <v>11</v>
      </c>
      <c r="C146" s="10">
        <f>B146/$B$4</f>
        <v>0.36666666666666664</v>
      </c>
      <c r="D146" s="9">
        <f>COUNTIFS(NonAttendees!$I$2:$I$41,"Catch-up Immunization")</f>
        <v>17</v>
      </c>
      <c r="E146" s="10">
        <f>D146/$B$5</f>
        <v>0.42499999999999999</v>
      </c>
    </row>
    <row r="147" spans="1:5" x14ac:dyDescent="0.25">
      <c r="A147" s="8" t="s">
        <v>138</v>
      </c>
      <c r="B147" s="9">
        <f>COUNTIFS(Attendees!$G$2:$G$31,"COVID-19 Vaccination")</f>
        <v>2</v>
      </c>
      <c r="C147" s="10">
        <f>B147/$B$4</f>
        <v>6.6666666666666666E-2</v>
      </c>
      <c r="D147" s="9">
        <f>COUNTIFS(NonAttendees!$I$2:$I$41,"COVID-19 Vaccination")</f>
        <v>5</v>
      </c>
      <c r="E147" s="10">
        <f>D147/$B$5</f>
        <v>0.125</v>
      </c>
    </row>
    <row r="148" spans="1:5" x14ac:dyDescent="0.25">
      <c r="A148" s="8" t="s">
        <v>139</v>
      </c>
      <c r="B148" s="9">
        <f>COUNTIFS(Attendees!$G$2:$G$31,"HPV Vaccination")</f>
        <v>1</v>
      </c>
      <c r="C148" s="10">
        <f>B148/$B$4</f>
        <v>3.3333333333333333E-2</v>
      </c>
      <c r="D148" s="9">
        <f>COUNTIFS(NonAttendees!$I$2:$I$41,"HPV Vaccination")</f>
        <v>4</v>
      </c>
      <c r="E148" s="10">
        <f>D148/$B$5</f>
        <v>0.1</v>
      </c>
    </row>
    <row r="149" spans="1:5" x14ac:dyDescent="0.25">
      <c r="A149" s="11" t="s">
        <v>140</v>
      </c>
      <c r="B149" s="17"/>
      <c r="C149" s="17"/>
      <c r="D149" s="17"/>
      <c r="E149" s="17"/>
    </row>
    <row r="150" spans="1:5" x14ac:dyDescent="0.25">
      <c r="A150" s="8" t="s">
        <v>141</v>
      </c>
      <c r="B150" s="9">
        <f>COUNTIFS(Attendees!$N$2:$N$31,"Hausa")</f>
        <v>23</v>
      </c>
      <c r="C150" s="10">
        <f>B150/$B$4</f>
        <v>0.76666666666666672</v>
      </c>
      <c r="D150" s="9">
        <f>COUNTIFS(NonAttendees!$Q$2:$Q$41,"Hausa")</f>
        <v>30</v>
      </c>
      <c r="E150" s="10">
        <f>D150/$B$5</f>
        <v>0.75</v>
      </c>
    </row>
    <row r="151" spans="1:5" x14ac:dyDescent="0.25">
      <c r="A151" s="8" t="s">
        <v>142</v>
      </c>
      <c r="B151" s="9">
        <f>COUNTIFS(Attendees!$N$2:$N$31,"English")</f>
        <v>4</v>
      </c>
      <c r="C151" s="10">
        <f>B151/$B$4</f>
        <v>0.13333333333333333</v>
      </c>
      <c r="D151" s="9">
        <f>COUNTIFS(NonAttendees!$Q$2:$Q$41,"English")</f>
        <v>6</v>
      </c>
      <c r="E151" s="10">
        <f>D151/$B$5</f>
        <v>0.15</v>
      </c>
    </row>
    <row r="152" spans="1:5" x14ac:dyDescent="0.25">
      <c r="A152" s="8" t="s">
        <v>143</v>
      </c>
      <c r="B152" s="9">
        <f>COUNTIFS(Attendees!$N$2:$N$31,"Pidgin")</f>
        <v>2</v>
      </c>
      <c r="C152" s="10">
        <f>B152/$B$4</f>
        <v>6.6666666666666666E-2</v>
      </c>
      <c r="D152" s="9">
        <f>COUNTIFS(NonAttendees!$Q$2:$Q$41,"Pidgin")</f>
        <v>4</v>
      </c>
      <c r="E152" s="10">
        <f>D152/$B$5</f>
        <v>0.1</v>
      </c>
    </row>
    <row r="153" spans="1:5" x14ac:dyDescent="0.25">
      <c r="A153" s="2" t="s">
        <v>144</v>
      </c>
    </row>
    <row r="156" spans="1:5" x14ac:dyDescent="0.25">
      <c r="A156" s="4" t="s">
        <v>145</v>
      </c>
    </row>
    <row r="157" spans="1:5" x14ac:dyDescent="0.25">
      <c r="A157" s="2" t="s">
        <v>146</v>
      </c>
    </row>
    <row r="158" spans="1:5" ht="30" customHeight="1" x14ac:dyDescent="0.25">
      <c r="A158" s="5"/>
      <c r="B158" s="6" t="s">
        <v>147</v>
      </c>
    </row>
    <row r="159" spans="1:5" x14ac:dyDescent="0.25">
      <c r="A159" s="8" t="s">
        <v>148</v>
      </c>
      <c r="B159" s="9">
        <f>$B$6</f>
        <v>3</v>
      </c>
    </row>
    <row r="160" spans="1:5" x14ac:dyDescent="0.25">
      <c r="A160" s="8" t="s">
        <v>149</v>
      </c>
      <c r="B160" s="16">
        <f>AVERAGE(Staff!$E$2:$E$4)</f>
        <v>2</v>
      </c>
    </row>
    <row r="161" spans="1:2" x14ac:dyDescent="0.25">
      <c r="A161" s="8" t="s">
        <v>150</v>
      </c>
      <c r="B161" s="9">
        <f>MIN(Staff!$E$2:$E$4)</f>
        <v>1</v>
      </c>
    </row>
    <row r="162" spans="1:2" x14ac:dyDescent="0.25">
      <c r="A162" s="8" t="s">
        <v>151</v>
      </c>
      <c r="B162" s="9">
        <f>MAX(Staff!$E$2:$E$4)</f>
        <v>3</v>
      </c>
    </row>
    <row r="163" spans="1:2" x14ac:dyDescent="0.25">
      <c r="A163" s="8" t="s">
        <v>152</v>
      </c>
      <c r="B163" s="9">
        <f>COUNTIFS(Staff!$F$2:$F$4,"Transport/logistics")</f>
        <v>2</v>
      </c>
    </row>
    <row r="164" spans="1:2" x14ac:dyDescent="0.25">
      <c r="A164" s="8" t="s">
        <v>153</v>
      </c>
      <c r="B164" s="9">
        <f>COUNTIFS(Staff!$F$2:$F$4,"No major challenge")</f>
        <v>1</v>
      </c>
    </row>
    <row r="165" spans="1:2" x14ac:dyDescent="0.25">
      <c r="A165" s="8" t="s">
        <v>154</v>
      </c>
      <c r="B165" s="9">
        <f>COUNTIFS(Staff!$G$2:$G$4,"More supplies")</f>
        <v>2</v>
      </c>
    </row>
    <row r="166" spans="1:2" x14ac:dyDescent="0.25">
      <c r="A166" s="8" t="s">
        <v>155</v>
      </c>
      <c r="B166" s="9">
        <f>COUNTIFS(Staff!$G$2:$G$4,"Earlier community mobilization")</f>
        <v>1</v>
      </c>
    </row>
  </sheetData>
  <mergeCells count="20"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20:C20"/>
    <mergeCell ref="D20:E20"/>
    <mergeCell ref="B17:C17"/>
    <mergeCell ref="D17:E17"/>
    <mergeCell ref="B18:C18"/>
    <mergeCell ref="D18:E18"/>
    <mergeCell ref="B19:C19"/>
    <mergeCell ref="D19:E19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tabSelected="1" topLeftCell="A6" zoomScaleNormal="100" workbookViewId="0"/>
  </sheetViews>
  <sheetFormatPr defaultColWidth="8.7109375" defaultRowHeight="15" x14ac:dyDescent="0.25"/>
  <cols>
    <col min="1" max="1" width="34" customWidth="1"/>
    <col min="2" max="3" width="60" customWidth="1"/>
  </cols>
  <sheetData>
    <row r="1" spans="1:3" ht="18" x14ac:dyDescent="0.25">
      <c r="A1" s="1" t="s">
        <v>156</v>
      </c>
    </row>
    <row r="3" spans="1:3" ht="30" customHeight="1" x14ac:dyDescent="0.25">
      <c r="A3" s="21" t="s">
        <v>157</v>
      </c>
      <c r="B3" s="25" t="s">
        <v>158</v>
      </c>
      <c r="C3" s="25"/>
    </row>
    <row r="4" spans="1:3" ht="45" customHeight="1" x14ac:dyDescent="0.25">
      <c r="A4" s="21" t="s">
        <v>159</v>
      </c>
      <c r="B4" s="25" t="s">
        <v>160</v>
      </c>
      <c r="C4" s="25"/>
    </row>
    <row r="5" spans="1:3" ht="45" customHeight="1" x14ac:dyDescent="0.25">
      <c r="A5" s="21" t="s">
        <v>161</v>
      </c>
      <c r="B5" s="25" t="s">
        <v>162</v>
      </c>
      <c r="C5" s="25"/>
    </row>
    <row r="6" spans="1:3" ht="15" customHeight="1" x14ac:dyDescent="0.25">
      <c r="A6" s="21" t="s">
        <v>163</v>
      </c>
      <c r="B6" s="25" t="s">
        <v>164</v>
      </c>
      <c r="C6" s="25"/>
    </row>
    <row r="7" spans="1:3" ht="45" customHeight="1" x14ac:dyDescent="0.25">
      <c r="A7" s="21" t="s">
        <v>165</v>
      </c>
      <c r="B7" s="25" t="s">
        <v>166</v>
      </c>
      <c r="C7" s="25"/>
    </row>
    <row r="8" spans="1:3" ht="30" customHeight="1" x14ac:dyDescent="0.25">
      <c r="A8" s="21" t="s">
        <v>167</v>
      </c>
      <c r="B8" s="25" t="s">
        <v>168</v>
      </c>
      <c r="C8" s="25"/>
    </row>
    <row r="9" spans="1:3" ht="30" customHeight="1" x14ac:dyDescent="0.25">
      <c r="A9" s="21" t="s">
        <v>169</v>
      </c>
      <c r="B9" s="25" t="s">
        <v>170</v>
      </c>
      <c r="C9" s="25"/>
    </row>
    <row r="10" spans="1:3" ht="15" customHeight="1" x14ac:dyDescent="0.25">
      <c r="A10" s="21" t="s">
        <v>171</v>
      </c>
      <c r="B10" s="25" t="s">
        <v>172</v>
      </c>
      <c r="C10" s="25"/>
    </row>
    <row r="11" spans="1:3" ht="15" customHeight="1" x14ac:dyDescent="0.25">
      <c r="A11" s="21" t="s">
        <v>173</v>
      </c>
      <c r="B11" s="25" t="s">
        <v>174</v>
      </c>
      <c r="C11" s="25"/>
    </row>
    <row r="12" spans="1:3" ht="15" customHeight="1" x14ac:dyDescent="0.25">
      <c r="A12" s="21" t="s">
        <v>175</v>
      </c>
      <c r="B12" s="25" t="s">
        <v>176</v>
      </c>
      <c r="C12" s="25"/>
    </row>
    <row r="13" spans="1:3" ht="30" customHeight="1" x14ac:dyDescent="0.25">
      <c r="A13" s="21" t="s">
        <v>177</v>
      </c>
      <c r="B13" s="25" t="s">
        <v>178</v>
      </c>
      <c r="C13" s="25"/>
    </row>
  </sheetData>
  <mergeCells count="11">
    <mergeCell ref="B3:C3"/>
    <mergeCell ref="B4:C4"/>
    <mergeCell ref="B5:C5"/>
    <mergeCell ref="B6:C6"/>
    <mergeCell ref="B7:C7"/>
    <mergeCell ref="B13:C13"/>
    <mergeCell ref="B8:C8"/>
    <mergeCell ref="B9:C9"/>
    <mergeCell ref="B10:C10"/>
    <mergeCell ref="B11:C11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7" customWidth="1"/>
    <col min="3" max="5" width="14" customWidth="1"/>
    <col min="6" max="6" width="19" customWidth="1"/>
    <col min="7" max="7" width="20" customWidth="1"/>
    <col min="8" max="8" width="32" customWidth="1"/>
    <col min="9" max="9" width="30" customWidth="1"/>
    <col min="10" max="10" width="28" customWidth="1"/>
    <col min="11" max="11" width="27" customWidth="1"/>
    <col min="12" max="12" width="23" customWidth="1"/>
    <col min="13" max="14" width="32" customWidth="1"/>
    <col min="15" max="15" width="19" customWidth="1"/>
    <col min="16" max="16" width="24" customWidth="1"/>
    <col min="17" max="17" width="29" customWidth="1"/>
    <col min="18" max="18" width="22" customWidth="1"/>
    <col min="19" max="19" width="27" customWidth="1"/>
    <col min="20" max="20" width="32" customWidth="1"/>
  </cols>
  <sheetData>
    <row r="1" spans="1:20" ht="25.5" x14ac:dyDescent="0.25">
      <c r="A1" s="22" t="s">
        <v>179</v>
      </c>
      <c r="B1" s="22" t="s">
        <v>180</v>
      </c>
      <c r="C1" s="22" t="s">
        <v>181</v>
      </c>
      <c r="D1" s="22" t="s">
        <v>182</v>
      </c>
      <c r="E1" s="22" t="s">
        <v>123</v>
      </c>
      <c r="F1" s="22" t="s">
        <v>183</v>
      </c>
      <c r="G1" s="22" t="s">
        <v>184</v>
      </c>
      <c r="H1" s="22" t="s">
        <v>185</v>
      </c>
      <c r="I1" s="22" t="s">
        <v>186</v>
      </c>
      <c r="J1" s="22" t="s">
        <v>187</v>
      </c>
      <c r="K1" s="22" t="s">
        <v>188</v>
      </c>
      <c r="L1" s="22" t="s">
        <v>189</v>
      </c>
      <c r="M1" s="22" t="s">
        <v>190</v>
      </c>
      <c r="N1" s="22" t="s">
        <v>191</v>
      </c>
      <c r="O1" s="22" t="s">
        <v>192</v>
      </c>
      <c r="P1" s="22" t="s">
        <v>193</v>
      </c>
      <c r="Q1" s="22" t="s">
        <v>194</v>
      </c>
      <c r="R1" s="22" t="s">
        <v>195</v>
      </c>
      <c r="S1" s="22" t="s">
        <v>196</v>
      </c>
      <c r="T1" s="22" t="s">
        <v>197</v>
      </c>
    </row>
    <row r="2" spans="1:20" x14ac:dyDescent="0.25">
      <c r="A2" s="23" t="s">
        <v>198</v>
      </c>
      <c r="B2" s="23" t="s">
        <v>199</v>
      </c>
      <c r="C2" s="23" t="s">
        <v>200</v>
      </c>
      <c r="D2" s="23" t="s">
        <v>201</v>
      </c>
      <c r="E2" s="23" t="s">
        <v>202</v>
      </c>
      <c r="F2" s="23" t="s">
        <v>203</v>
      </c>
      <c r="G2" s="23" t="s">
        <v>204</v>
      </c>
      <c r="H2" s="23" t="s">
        <v>95</v>
      </c>
      <c r="I2" s="23" t="s">
        <v>205</v>
      </c>
      <c r="J2" s="23" t="s">
        <v>72</v>
      </c>
      <c r="K2" s="23">
        <v>4.2</v>
      </c>
      <c r="L2" s="23">
        <v>58</v>
      </c>
      <c r="M2" s="23" t="s">
        <v>36</v>
      </c>
      <c r="N2" s="23" t="s">
        <v>206</v>
      </c>
      <c r="O2" s="23" t="s">
        <v>95</v>
      </c>
      <c r="P2" s="23">
        <v>51</v>
      </c>
      <c r="Q2" s="23">
        <v>3</v>
      </c>
      <c r="R2" s="23" t="s">
        <v>207</v>
      </c>
      <c r="S2" s="23" t="s">
        <v>94</v>
      </c>
      <c r="T2" s="23" t="s">
        <v>82</v>
      </c>
    </row>
    <row r="3" spans="1:20" x14ac:dyDescent="0.25">
      <c r="A3" s="23" t="s">
        <v>208</v>
      </c>
      <c r="B3" s="23" t="s">
        <v>209</v>
      </c>
      <c r="C3" s="23" t="s">
        <v>210</v>
      </c>
      <c r="D3" s="23" t="s">
        <v>211</v>
      </c>
      <c r="E3" s="23" t="s">
        <v>212</v>
      </c>
      <c r="F3" s="23" t="s">
        <v>213</v>
      </c>
      <c r="G3" s="23" t="s">
        <v>204</v>
      </c>
      <c r="H3" s="23" t="s">
        <v>93</v>
      </c>
      <c r="I3" s="23" t="s">
        <v>214</v>
      </c>
      <c r="J3" s="23" t="s">
        <v>68</v>
      </c>
      <c r="K3" s="23">
        <v>1.7</v>
      </c>
      <c r="L3" s="23">
        <v>33</v>
      </c>
      <c r="M3" s="23" t="s">
        <v>41</v>
      </c>
      <c r="N3" s="23" t="s">
        <v>215</v>
      </c>
      <c r="O3" s="23" t="s">
        <v>95</v>
      </c>
      <c r="P3" s="23">
        <v>58</v>
      </c>
      <c r="Q3" s="23">
        <v>3</v>
      </c>
      <c r="R3" s="23" t="s">
        <v>216</v>
      </c>
      <c r="S3" s="23" t="s">
        <v>95</v>
      </c>
      <c r="T3" s="23" t="s">
        <v>81</v>
      </c>
    </row>
    <row r="4" spans="1:20" x14ac:dyDescent="0.25">
      <c r="A4" s="23" t="s">
        <v>217</v>
      </c>
      <c r="B4" s="23" t="s">
        <v>218</v>
      </c>
      <c r="C4" s="23" t="s">
        <v>200</v>
      </c>
      <c r="D4" s="23" t="s">
        <v>219</v>
      </c>
      <c r="E4" s="23" t="s">
        <v>202</v>
      </c>
      <c r="F4" s="23" t="s">
        <v>203</v>
      </c>
      <c r="G4" s="23" t="s">
        <v>220</v>
      </c>
      <c r="H4" s="23" t="s">
        <v>95</v>
      </c>
      <c r="I4" s="23" t="s">
        <v>221</v>
      </c>
      <c r="J4" s="23" t="s">
        <v>70</v>
      </c>
      <c r="K4" s="23">
        <v>8.1999999999999993</v>
      </c>
      <c r="L4" s="23">
        <v>96</v>
      </c>
      <c r="M4" s="23" t="s">
        <v>222</v>
      </c>
      <c r="N4" s="23" t="s">
        <v>206</v>
      </c>
      <c r="O4" s="23" t="s">
        <v>95</v>
      </c>
      <c r="P4" s="23">
        <v>53</v>
      </c>
      <c r="Q4" s="23">
        <v>3</v>
      </c>
      <c r="R4" s="23" t="s">
        <v>207</v>
      </c>
      <c r="S4" s="23" t="s">
        <v>94</v>
      </c>
      <c r="T4" s="23" t="s">
        <v>81</v>
      </c>
    </row>
    <row r="5" spans="1:20" x14ac:dyDescent="0.25">
      <c r="A5" s="23" t="s">
        <v>223</v>
      </c>
      <c r="B5" s="23" t="s">
        <v>224</v>
      </c>
      <c r="C5" s="23" t="s">
        <v>210</v>
      </c>
      <c r="D5" s="23" t="s">
        <v>201</v>
      </c>
      <c r="E5" s="23" t="s">
        <v>212</v>
      </c>
      <c r="F5" s="23" t="s">
        <v>203</v>
      </c>
      <c r="G5" s="23" t="s">
        <v>220</v>
      </c>
      <c r="H5" s="23" t="s">
        <v>93</v>
      </c>
      <c r="I5" s="23" t="s">
        <v>214</v>
      </c>
      <c r="J5" s="23" t="s">
        <v>68</v>
      </c>
      <c r="K5" s="23">
        <v>3</v>
      </c>
      <c r="L5" s="23">
        <v>295</v>
      </c>
      <c r="M5" s="23" t="s">
        <v>225</v>
      </c>
      <c r="N5" s="23" t="s">
        <v>206</v>
      </c>
      <c r="O5" s="23" t="s">
        <v>95</v>
      </c>
      <c r="P5" s="23">
        <v>79</v>
      </c>
      <c r="Q5" s="23">
        <v>3</v>
      </c>
      <c r="R5" s="23" t="s">
        <v>207</v>
      </c>
      <c r="S5" s="23" t="s">
        <v>94</v>
      </c>
      <c r="T5" s="23" t="s">
        <v>82</v>
      </c>
    </row>
    <row r="6" spans="1:20" x14ac:dyDescent="0.25">
      <c r="A6" s="23" t="s">
        <v>226</v>
      </c>
      <c r="B6" s="23" t="s">
        <v>227</v>
      </c>
      <c r="C6" s="23" t="s">
        <v>210</v>
      </c>
      <c r="D6" s="23" t="s">
        <v>201</v>
      </c>
      <c r="E6" s="23" t="s">
        <v>212</v>
      </c>
      <c r="F6" s="23" t="s">
        <v>203</v>
      </c>
      <c r="G6" s="23" t="s">
        <v>204</v>
      </c>
      <c r="H6" s="23" t="s">
        <v>93</v>
      </c>
      <c r="I6" s="23" t="s">
        <v>214</v>
      </c>
      <c r="J6" s="23" t="s">
        <v>70</v>
      </c>
      <c r="K6" s="23">
        <v>5.9</v>
      </c>
      <c r="L6" s="23">
        <v>58</v>
      </c>
      <c r="M6" s="23" t="s">
        <v>228</v>
      </c>
      <c r="N6" s="23" t="s">
        <v>206</v>
      </c>
      <c r="O6" s="23" t="s">
        <v>95</v>
      </c>
      <c r="P6" s="23"/>
      <c r="Q6" s="23">
        <v>3</v>
      </c>
      <c r="R6" s="23" t="s">
        <v>229</v>
      </c>
      <c r="S6" s="23" t="s">
        <v>93</v>
      </c>
      <c r="T6" s="23" t="s">
        <v>84</v>
      </c>
    </row>
    <row r="7" spans="1:20" x14ac:dyDescent="0.25">
      <c r="A7" s="23" t="s">
        <v>230</v>
      </c>
      <c r="B7" s="23" t="s">
        <v>231</v>
      </c>
      <c r="C7" s="23" t="s">
        <v>210</v>
      </c>
      <c r="D7" s="23" t="s">
        <v>219</v>
      </c>
      <c r="E7" s="23" t="s">
        <v>212</v>
      </c>
      <c r="F7" s="23" t="s">
        <v>203</v>
      </c>
      <c r="G7" s="23" t="s">
        <v>220</v>
      </c>
      <c r="H7" s="23" t="s">
        <v>93</v>
      </c>
      <c r="I7" s="23" t="s">
        <v>214</v>
      </c>
      <c r="J7" s="23" t="s">
        <v>70</v>
      </c>
      <c r="K7" s="23">
        <v>7.4</v>
      </c>
      <c r="L7" s="23">
        <v>81</v>
      </c>
      <c r="M7" s="23" t="s">
        <v>228</v>
      </c>
      <c r="N7" s="23" t="s">
        <v>215</v>
      </c>
      <c r="O7" s="23" t="s">
        <v>95</v>
      </c>
      <c r="P7" s="23">
        <v>73</v>
      </c>
      <c r="Q7" s="23">
        <v>3</v>
      </c>
      <c r="R7" s="23" t="s">
        <v>207</v>
      </c>
      <c r="S7" s="23" t="s">
        <v>93</v>
      </c>
      <c r="T7" s="23" t="s">
        <v>83</v>
      </c>
    </row>
    <row r="8" spans="1:20" x14ac:dyDescent="0.25">
      <c r="A8" s="23" t="s">
        <v>232</v>
      </c>
      <c r="B8" s="23" t="s">
        <v>233</v>
      </c>
      <c r="C8" s="23" t="s">
        <v>200</v>
      </c>
      <c r="D8" s="23" t="s">
        <v>201</v>
      </c>
      <c r="E8" s="23" t="s">
        <v>212</v>
      </c>
      <c r="F8" s="23" t="s">
        <v>203</v>
      </c>
      <c r="G8" s="23" t="s">
        <v>220</v>
      </c>
      <c r="H8" s="23" t="s">
        <v>93</v>
      </c>
      <c r="I8" s="23" t="s">
        <v>214</v>
      </c>
      <c r="J8" s="23" t="s">
        <v>69</v>
      </c>
      <c r="K8" s="23">
        <v>2</v>
      </c>
      <c r="L8" s="23">
        <v>33</v>
      </c>
      <c r="M8" s="23" t="s">
        <v>41</v>
      </c>
      <c r="N8" s="23" t="s">
        <v>234</v>
      </c>
      <c r="O8" s="23" t="s">
        <v>95</v>
      </c>
      <c r="P8" s="23">
        <v>21</v>
      </c>
      <c r="Q8" s="23">
        <v>1</v>
      </c>
      <c r="R8" s="23" t="s">
        <v>207</v>
      </c>
      <c r="S8" s="23" t="s">
        <v>93</v>
      </c>
      <c r="T8" s="23" t="s">
        <v>83</v>
      </c>
    </row>
    <row r="9" spans="1:20" x14ac:dyDescent="0.25">
      <c r="A9" s="23" t="s">
        <v>235</v>
      </c>
      <c r="B9" s="23" t="s">
        <v>236</v>
      </c>
      <c r="C9" s="23" t="s">
        <v>200</v>
      </c>
      <c r="D9" s="23" t="s">
        <v>201</v>
      </c>
      <c r="E9" s="23" t="s">
        <v>212</v>
      </c>
      <c r="F9" s="23" t="s">
        <v>203</v>
      </c>
      <c r="G9" s="23" t="s">
        <v>204</v>
      </c>
      <c r="H9" s="23" t="s">
        <v>93</v>
      </c>
      <c r="I9" s="23" t="s">
        <v>214</v>
      </c>
      <c r="J9" s="23" t="s">
        <v>68</v>
      </c>
      <c r="K9" s="23"/>
      <c r="L9" s="23">
        <v>17</v>
      </c>
      <c r="M9" s="23" t="s">
        <v>41</v>
      </c>
      <c r="N9" s="23" t="s">
        <v>206</v>
      </c>
      <c r="O9" s="23" t="s">
        <v>95</v>
      </c>
      <c r="P9" s="23">
        <v>99</v>
      </c>
      <c r="Q9" s="23">
        <v>4</v>
      </c>
      <c r="R9" s="23" t="s">
        <v>237</v>
      </c>
      <c r="S9" s="23" t="s">
        <v>93</v>
      </c>
      <c r="T9" s="23" t="s">
        <v>83</v>
      </c>
    </row>
    <row r="10" spans="1:20" x14ac:dyDescent="0.25">
      <c r="A10" s="23" t="s">
        <v>238</v>
      </c>
      <c r="B10" s="23" t="s">
        <v>239</v>
      </c>
      <c r="C10" s="23" t="s">
        <v>210</v>
      </c>
      <c r="D10" s="23" t="s">
        <v>219</v>
      </c>
      <c r="E10" s="23" t="s">
        <v>202</v>
      </c>
      <c r="F10" s="23" t="s">
        <v>203</v>
      </c>
      <c r="G10" s="23" t="s">
        <v>220</v>
      </c>
      <c r="H10" s="23" t="s">
        <v>95</v>
      </c>
      <c r="I10" s="23" t="s">
        <v>240</v>
      </c>
      <c r="J10" s="23" t="s">
        <v>70</v>
      </c>
      <c r="K10" s="23">
        <v>1.3</v>
      </c>
      <c r="L10" s="23">
        <v>28</v>
      </c>
      <c r="M10" s="23" t="s">
        <v>222</v>
      </c>
      <c r="N10" s="23" t="s">
        <v>206</v>
      </c>
      <c r="O10" s="23" t="s">
        <v>95</v>
      </c>
      <c r="P10" s="23">
        <v>39</v>
      </c>
      <c r="Q10" s="23">
        <v>4</v>
      </c>
      <c r="R10" s="23" t="s">
        <v>207</v>
      </c>
      <c r="S10" s="23" t="s">
        <v>93</v>
      </c>
      <c r="T10" s="23"/>
    </row>
    <row r="11" spans="1:20" x14ac:dyDescent="0.25">
      <c r="A11" s="23" t="s">
        <v>241</v>
      </c>
      <c r="B11" s="23" t="s">
        <v>236</v>
      </c>
      <c r="C11" s="23" t="s">
        <v>200</v>
      </c>
      <c r="D11" s="23" t="s">
        <v>219</v>
      </c>
      <c r="E11" s="23" t="s">
        <v>202</v>
      </c>
      <c r="F11" s="23" t="s">
        <v>203</v>
      </c>
      <c r="G11" s="23" t="s">
        <v>220</v>
      </c>
      <c r="H11" s="23" t="s">
        <v>95</v>
      </c>
      <c r="I11" s="23" t="s">
        <v>205</v>
      </c>
      <c r="J11" s="23" t="s">
        <v>69</v>
      </c>
      <c r="K11" s="23">
        <v>1.1000000000000001</v>
      </c>
      <c r="L11" s="23">
        <v>22</v>
      </c>
      <c r="M11" s="23" t="s">
        <v>41</v>
      </c>
      <c r="N11" s="23" t="s">
        <v>206</v>
      </c>
      <c r="O11" s="23" t="s">
        <v>95</v>
      </c>
      <c r="P11" s="23">
        <v>53</v>
      </c>
      <c r="Q11" s="23">
        <v>2</v>
      </c>
      <c r="R11" s="23" t="s">
        <v>216</v>
      </c>
      <c r="S11" s="23" t="s">
        <v>94</v>
      </c>
      <c r="T11" s="23" t="s">
        <v>81</v>
      </c>
    </row>
    <row r="12" spans="1:20" x14ac:dyDescent="0.25">
      <c r="A12" s="23" t="s">
        <v>242</v>
      </c>
      <c r="B12" s="23" t="s">
        <v>236</v>
      </c>
      <c r="C12" s="23" t="s">
        <v>210</v>
      </c>
      <c r="D12" s="23" t="s">
        <v>201</v>
      </c>
      <c r="E12" s="23" t="s">
        <v>212</v>
      </c>
      <c r="F12" s="23" t="s">
        <v>203</v>
      </c>
      <c r="G12" s="23" t="s">
        <v>220</v>
      </c>
      <c r="H12" s="23" t="s">
        <v>93</v>
      </c>
      <c r="I12" s="23" t="s">
        <v>214</v>
      </c>
      <c r="J12" s="23" t="s">
        <v>74</v>
      </c>
      <c r="K12" s="23">
        <v>2.5</v>
      </c>
      <c r="L12" s="23">
        <v>42</v>
      </c>
      <c r="M12" s="23" t="s">
        <v>41</v>
      </c>
      <c r="N12" s="23" t="s">
        <v>234</v>
      </c>
      <c r="O12" s="23" t="s">
        <v>95</v>
      </c>
      <c r="P12" s="23">
        <v>60</v>
      </c>
      <c r="Q12" s="23">
        <v>4</v>
      </c>
      <c r="R12" s="23" t="s">
        <v>237</v>
      </c>
      <c r="S12" s="23" t="s">
        <v>93</v>
      </c>
      <c r="T12" s="23" t="s">
        <v>81</v>
      </c>
    </row>
    <row r="13" spans="1:20" x14ac:dyDescent="0.25">
      <c r="A13" s="23" t="s">
        <v>243</v>
      </c>
      <c r="B13" s="23" t="s">
        <v>236</v>
      </c>
      <c r="C13" s="23" t="s">
        <v>210</v>
      </c>
      <c r="D13" s="23" t="s">
        <v>201</v>
      </c>
      <c r="E13" s="23" t="s">
        <v>202</v>
      </c>
      <c r="F13" s="23" t="s">
        <v>203</v>
      </c>
      <c r="G13" s="23" t="s">
        <v>204</v>
      </c>
      <c r="H13" s="23" t="s">
        <v>95</v>
      </c>
      <c r="I13" s="23" t="s">
        <v>205</v>
      </c>
      <c r="J13" s="23" t="s">
        <v>68</v>
      </c>
      <c r="K13" s="23">
        <v>1.3</v>
      </c>
      <c r="L13" s="23">
        <v>25</v>
      </c>
      <c r="M13" s="23" t="s">
        <v>244</v>
      </c>
      <c r="N13" s="23" t="s">
        <v>206</v>
      </c>
      <c r="O13" s="23" t="s">
        <v>95</v>
      </c>
      <c r="P13" s="23">
        <v>48</v>
      </c>
      <c r="Q13" s="23">
        <v>5</v>
      </c>
      <c r="R13" s="23" t="s">
        <v>229</v>
      </c>
      <c r="S13" s="23" t="s">
        <v>93</v>
      </c>
      <c r="T13" s="23" t="s">
        <v>84</v>
      </c>
    </row>
    <row r="14" spans="1:20" x14ac:dyDescent="0.25">
      <c r="A14" s="23" t="s">
        <v>245</v>
      </c>
      <c r="B14" s="23" t="s">
        <v>246</v>
      </c>
      <c r="C14" s="23" t="s">
        <v>210</v>
      </c>
      <c r="D14" s="23" t="s">
        <v>219</v>
      </c>
      <c r="E14" s="23" t="s">
        <v>212</v>
      </c>
      <c r="F14" s="23" t="s">
        <v>203</v>
      </c>
      <c r="G14" s="23" t="s">
        <v>204</v>
      </c>
      <c r="H14" s="23" t="s">
        <v>95</v>
      </c>
      <c r="I14" s="23" t="s">
        <v>205</v>
      </c>
      <c r="J14" s="23" t="s">
        <v>70</v>
      </c>
      <c r="K14" s="23">
        <v>2.2999999999999998</v>
      </c>
      <c r="L14" s="23">
        <v>25</v>
      </c>
      <c r="M14" s="23" t="s">
        <v>37</v>
      </c>
      <c r="N14" s="23" t="s">
        <v>206</v>
      </c>
      <c r="O14" s="23" t="s">
        <v>95</v>
      </c>
      <c r="P14" s="23">
        <v>73</v>
      </c>
      <c r="Q14" s="23">
        <v>3</v>
      </c>
      <c r="R14" s="23" t="s">
        <v>207</v>
      </c>
      <c r="S14" s="23" t="s">
        <v>93</v>
      </c>
      <c r="T14" s="23" t="s">
        <v>88</v>
      </c>
    </row>
    <row r="15" spans="1:20" x14ac:dyDescent="0.25">
      <c r="A15" s="23" t="s">
        <v>247</v>
      </c>
      <c r="B15" s="23" t="s">
        <v>236</v>
      </c>
      <c r="C15" s="23" t="s">
        <v>210</v>
      </c>
      <c r="D15" s="23" t="s">
        <v>201</v>
      </c>
      <c r="E15" s="23" t="s">
        <v>202</v>
      </c>
      <c r="F15" s="23" t="s">
        <v>203</v>
      </c>
      <c r="G15" s="23" t="s">
        <v>220</v>
      </c>
      <c r="H15" s="23" t="s">
        <v>95</v>
      </c>
      <c r="I15" s="23" t="s">
        <v>221</v>
      </c>
      <c r="J15" s="23" t="s">
        <v>73</v>
      </c>
      <c r="K15" s="23">
        <v>2.2000000000000002</v>
      </c>
      <c r="L15" s="23">
        <v>34</v>
      </c>
      <c r="M15" s="23" t="s">
        <v>222</v>
      </c>
      <c r="N15" s="23" t="s">
        <v>206</v>
      </c>
      <c r="O15" s="23" t="s">
        <v>95</v>
      </c>
      <c r="P15" s="23">
        <v>40</v>
      </c>
      <c r="Q15" s="23">
        <v>2</v>
      </c>
      <c r="R15" s="23" t="s">
        <v>216</v>
      </c>
      <c r="S15" s="23" t="s">
        <v>95</v>
      </c>
      <c r="T15" s="23" t="s">
        <v>84</v>
      </c>
    </row>
    <row r="16" spans="1:20" x14ac:dyDescent="0.25">
      <c r="A16" s="23" t="s">
        <v>248</v>
      </c>
      <c r="B16" s="23" t="s">
        <v>231</v>
      </c>
      <c r="C16" s="23" t="s">
        <v>210</v>
      </c>
      <c r="D16" s="23" t="s">
        <v>219</v>
      </c>
      <c r="E16" s="23" t="s">
        <v>212</v>
      </c>
      <c r="F16" s="23" t="s">
        <v>203</v>
      </c>
      <c r="G16" s="23" t="s">
        <v>220</v>
      </c>
      <c r="H16" s="23" t="s">
        <v>93</v>
      </c>
      <c r="I16" s="23" t="s">
        <v>214</v>
      </c>
      <c r="J16" s="23" t="s">
        <v>71</v>
      </c>
      <c r="K16" s="23">
        <v>0.9</v>
      </c>
      <c r="L16" s="23">
        <v>21</v>
      </c>
      <c r="M16" s="23" t="s">
        <v>36</v>
      </c>
      <c r="N16" s="23" t="s">
        <v>206</v>
      </c>
      <c r="O16" s="23" t="s">
        <v>95</v>
      </c>
      <c r="P16" s="23">
        <v>23</v>
      </c>
      <c r="Q16" s="23">
        <v>2</v>
      </c>
      <c r="R16" s="23" t="s">
        <v>216</v>
      </c>
      <c r="S16" s="23" t="s">
        <v>93</v>
      </c>
      <c r="T16" s="23" t="s">
        <v>84</v>
      </c>
    </row>
    <row r="17" spans="1:20" x14ac:dyDescent="0.25">
      <c r="A17" s="23" t="s">
        <v>249</v>
      </c>
      <c r="B17" s="23" t="s">
        <v>246</v>
      </c>
      <c r="C17" s="23" t="s">
        <v>210</v>
      </c>
      <c r="D17" s="23" t="s">
        <v>250</v>
      </c>
      <c r="E17" s="23" t="s">
        <v>202</v>
      </c>
      <c r="F17" s="23" t="s">
        <v>203</v>
      </c>
      <c r="G17" s="23" t="s">
        <v>204</v>
      </c>
      <c r="H17" s="23" t="s">
        <v>95</v>
      </c>
      <c r="I17" s="23" t="s">
        <v>205</v>
      </c>
      <c r="J17" s="23" t="s">
        <v>68</v>
      </c>
      <c r="K17" s="23">
        <v>2.6</v>
      </c>
      <c r="L17" s="23">
        <v>32</v>
      </c>
      <c r="M17" s="23" t="s">
        <v>41</v>
      </c>
      <c r="N17" s="23" t="s">
        <v>206</v>
      </c>
      <c r="O17" s="23" t="s">
        <v>95</v>
      </c>
      <c r="P17" s="23">
        <v>17</v>
      </c>
      <c r="Q17" s="23">
        <v>4</v>
      </c>
      <c r="R17" s="23" t="s">
        <v>229</v>
      </c>
      <c r="S17" s="23" t="s">
        <v>93</v>
      </c>
      <c r="T17" s="23" t="s">
        <v>81</v>
      </c>
    </row>
    <row r="18" spans="1:20" x14ac:dyDescent="0.25">
      <c r="A18" s="23" t="s">
        <v>251</v>
      </c>
      <c r="B18" s="23" t="s">
        <v>252</v>
      </c>
      <c r="C18" s="23" t="s">
        <v>200</v>
      </c>
      <c r="D18" s="23" t="s">
        <v>253</v>
      </c>
      <c r="E18" s="23" t="s">
        <v>202</v>
      </c>
      <c r="F18" s="23" t="s">
        <v>213</v>
      </c>
      <c r="G18" s="23" t="s">
        <v>254</v>
      </c>
      <c r="H18" s="23" t="s">
        <v>93</v>
      </c>
      <c r="I18" s="23" t="s">
        <v>214</v>
      </c>
      <c r="J18" s="23" t="s">
        <v>68</v>
      </c>
      <c r="K18" s="23">
        <v>0.8</v>
      </c>
      <c r="L18" s="23">
        <v>17</v>
      </c>
      <c r="M18" s="23" t="s">
        <v>41</v>
      </c>
      <c r="N18" s="23" t="s">
        <v>206</v>
      </c>
      <c r="O18" s="23" t="s">
        <v>95</v>
      </c>
      <c r="P18" s="23">
        <v>29</v>
      </c>
      <c r="Q18" s="23">
        <v>4</v>
      </c>
      <c r="R18" s="23" t="s">
        <v>229</v>
      </c>
      <c r="S18" s="23" t="s">
        <v>93</v>
      </c>
      <c r="T18" s="23" t="s">
        <v>82</v>
      </c>
    </row>
    <row r="19" spans="1:20" x14ac:dyDescent="0.25">
      <c r="A19" s="23" t="s">
        <v>255</v>
      </c>
      <c r="B19" s="23" t="s">
        <v>218</v>
      </c>
      <c r="C19" s="23" t="s">
        <v>210</v>
      </c>
      <c r="D19" s="23" t="s">
        <v>250</v>
      </c>
      <c r="E19" s="23" t="s">
        <v>212</v>
      </c>
      <c r="F19" s="23" t="s">
        <v>203</v>
      </c>
      <c r="G19" s="23" t="s">
        <v>256</v>
      </c>
      <c r="H19" s="23" t="s">
        <v>95</v>
      </c>
      <c r="I19" s="23" t="s">
        <v>221</v>
      </c>
      <c r="J19" s="23" t="s">
        <v>68</v>
      </c>
      <c r="K19" s="23">
        <v>0.8</v>
      </c>
      <c r="L19" s="23">
        <v>18</v>
      </c>
      <c r="M19" s="23" t="s">
        <v>244</v>
      </c>
      <c r="N19" s="23" t="s">
        <v>206</v>
      </c>
      <c r="O19" s="23" t="s">
        <v>93</v>
      </c>
      <c r="P19" s="23">
        <v>76</v>
      </c>
      <c r="Q19" s="23">
        <v>3</v>
      </c>
      <c r="R19" s="23" t="s">
        <v>207</v>
      </c>
      <c r="S19" s="23" t="s">
        <v>94</v>
      </c>
      <c r="T19" s="23" t="s">
        <v>83</v>
      </c>
    </row>
    <row r="20" spans="1:20" x14ac:dyDescent="0.25">
      <c r="A20" s="23" t="s">
        <v>257</v>
      </c>
      <c r="B20" s="23" t="s">
        <v>224</v>
      </c>
      <c r="C20" s="23" t="s">
        <v>210</v>
      </c>
      <c r="D20" s="23" t="s">
        <v>219</v>
      </c>
      <c r="E20" s="23" t="s">
        <v>202</v>
      </c>
      <c r="F20" s="23" t="s">
        <v>203</v>
      </c>
      <c r="G20" s="23" t="s">
        <v>220</v>
      </c>
      <c r="H20" s="23" t="s">
        <v>95</v>
      </c>
      <c r="I20" s="23" t="s">
        <v>205</v>
      </c>
      <c r="J20" s="23" t="s">
        <v>71</v>
      </c>
      <c r="K20" s="23">
        <v>3.4</v>
      </c>
      <c r="L20" s="23">
        <v>43</v>
      </c>
      <c r="M20" s="23" t="s">
        <v>228</v>
      </c>
      <c r="N20" s="23" t="s">
        <v>206</v>
      </c>
      <c r="O20" s="23" t="s">
        <v>95</v>
      </c>
      <c r="P20" s="23">
        <v>19</v>
      </c>
      <c r="Q20" s="23">
        <v>3</v>
      </c>
      <c r="R20" s="23" t="s">
        <v>207</v>
      </c>
      <c r="S20" s="23" t="s">
        <v>94</v>
      </c>
      <c r="T20" s="23" t="s">
        <v>82</v>
      </c>
    </row>
    <row r="21" spans="1:20" x14ac:dyDescent="0.25">
      <c r="A21" s="23" t="s">
        <v>258</v>
      </c>
      <c r="B21" s="23" t="s">
        <v>218</v>
      </c>
      <c r="C21" s="23" t="s">
        <v>200</v>
      </c>
      <c r="D21" s="23" t="s">
        <v>201</v>
      </c>
      <c r="E21" s="23" t="s">
        <v>212</v>
      </c>
      <c r="F21" s="23" t="s">
        <v>203</v>
      </c>
      <c r="G21" s="23" t="s">
        <v>220</v>
      </c>
      <c r="H21" s="23" t="s">
        <v>95</v>
      </c>
      <c r="I21" s="23" t="s">
        <v>205</v>
      </c>
      <c r="J21" s="23" t="s">
        <v>73</v>
      </c>
      <c r="K21" s="23">
        <v>3.7</v>
      </c>
      <c r="L21" s="23">
        <v>60</v>
      </c>
      <c r="M21" s="23" t="s">
        <v>228</v>
      </c>
      <c r="N21" s="23" t="s">
        <v>206</v>
      </c>
      <c r="O21" s="23" t="s">
        <v>95</v>
      </c>
      <c r="P21" s="23">
        <v>43</v>
      </c>
      <c r="Q21" s="23">
        <v>2</v>
      </c>
      <c r="R21" s="23" t="s">
        <v>216</v>
      </c>
      <c r="S21" s="23" t="s">
        <v>94</v>
      </c>
      <c r="T21" s="23" t="s">
        <v>82</v>
      </c>
    </row>
    <row r="22" spans="1:20" x14ac:dyDescent="0.25">
      <c r="A22" s="23" t="s">
        <v>259</v>
      </c>
      <c r="B22" s="23" t="s">
        <v>236</v>
      </c>
      <c r="C22" s="23" t="s">
        <v>200</v>
      </c>
      <c r="D22" s="23" t="s">
        <v>250</v>
      </c>
      <c r="E22" s="23" t="s">
        <v>202</v>
      </c>
      <c r="F22" s="23" t="s">
        <v>203</v>
      </c>
      <c r="G22" s="23" t="s">
        <v>204</v>
      </c>
      <c r="H22" s="23" t="s">
        <v>95</v>
      </c>
      <c r="I22" s="23" t="s">
        <v>221</v>
      </c>
      <c r="J22" s="23" t="s">
        <v>69</v>
      </c>
      <c r="K22" s="23">
        <v>2.4</v>
      </c>
      <c r="L22" s="23">
        <v>33</v>
      </c>
      <c r="M22" s="23" t="s">
        <v>41</v>
      </c>
      <c r="N22" s="23" t="s">
        <v>206</v>
      </c>
      <c r="O22" s="23" t="s">
        <v>95</v>
      </c>
      <c r="P22" s="23">
        <v>48</v>
      </c>
      <c r="Q22" s="23">
        <v>3</v>
      </c>
      <c r="R22" s="23" t="s">
        <v>207</v>
      </c>
      <c r="S22" s="23" t="s">
        <v>93</v>
      </c>
      <c r="T22" s="23" t="s">
        <v>83</v>
      </c>
    </row>
    <row r="23" spans="1:20" x14ac:dyDescent="0.25">
      <c r="A23" s="23" t="s">
        <v>260</v>
      </c>
      <c r="B23" s="23" t="s">
        <v>239</v>
      </c>
      <c r="C23" s="23" t="s">
        <v>200</v>
      </c>
      <c r="D23" s="23" t="s">
        <v>261</v>
      </c>
      <c r="E23" s="23" t="s">
        <v>202</v>
      </c>
      <c r="F23" s="23" t="s">
        <v>213</v>
      </c>
      <c r="G23" s="23" t="s">
        <v>254</v>
      </c>
      <c r="H23" s="23" t="s">
        <v>93</v>
      </c>
      <c r="I23" s="23" t="s">
        <v>205</v>
      </c>
      <c r="J23" s="23" t="s">
        <v>71</v>
      </c>
      <c r="K23" s="23">
        <v>0.9</v>
      </c>
      <c r="L23" s="23">
        <v>22</v>
      </c>
      <c r="M23" s="23" t="s">
        <v>244</v>
      </c>
      <c r="N23" s="23" t="s">
        <v>234</v>
      </c>
      <c r="O23" s="23" t="s">
        <v>95</v>
      </c>
      <c r="P23" s="23">
        <v>36</v>
      </c>
      <c r="Q23" s="23">
        <v>4</v>
      </c>
      <c r="R23" s="23" t="s">
        <v>229</v>
      </c>
      <c r="S23" s="23" t="s">
        <v>93</v>
      </c>
      <c r="T23" s="23" t="s">
        <v>81</v>
      </c>
    </row>
    <row r="24" spans="1:20" x14ac:dyDescent="0.25">
      <c r="A24" s="23" t="s">
        <v>262</v>
      </c>
      <c r="B24" s="23" t="s">
        <v>246</v>
      </c>
      <c r="C24" s="23" t="s">
        <v>200</v>
      </c>
      <c r="D24" s="23" t="s">
        <v>250</v>
      </c>
      <c r="E24" s="23" t="s">
        <v>202</v>
      </c>
      <c r="F24" s="23" t="s">
        <v>203</v>
      </c>
      <c r="G24" s="23" t="s">
        <v>204</v>
      </c>
      <c r="H24" s="23" t="s">
        <v>95</v>
      </c>
      <c r="I24" s="23" t="s">
        <v>221</v>
      </c>
      <c r="J24" s="23" t="s">
        <v>70</v>
      </c>
      <c r="K24" s="23">
        <v>1.6</v>
      </c>
      <c r="L24" s="23">
        <v>21</v>
      </c>
      <c r="M24" s="23" t="s">
        <v>222</v>
      </c>
      <c r="N24" s="23"/>
      <c r="O24" s="23" t="s">
        <v>95</v>
      </c>
      <c r="P24" s="23">
        <v>28</v>
      </c>
      <c r="Q24" s="23">
        <v>5</v>
      </c>
      <c r="R24" s="23" t="s">
        <v>237</v>
      </c>
      <c r="S24" s="23" t="s">
        <v>93</v>
      </c>
      <c r="T24" s="23" t="s">
        <v>84</v>
      </c>
    </row>
    <row r="25" spans="1:20" x14ac:dyDescent="0.25">
      <c r="A25" s="23" t="s">
        <v>263</v>
      </c>
      <c r="B25" s="23" t="s">
        <v>231</v>
      </c>
      <c r="C25" s="23" t="s">
        <v>200</v>
      </c>
      <c r="D25" s="23" t="s">
        <v>201</v>
      </c>
      <c r="E25" s="23" t="s">
        <v>202</v>
      </c>
      <c r="F25" s="23" t="s">
        <v>203</v>
      </c>
      <c r="G25" s="23" t="s">
        <v>220</v>
      </c>
      <c r="H25" s="23" t="s">
        <v>95</v>
      </c>
      <c r="I25" s="23" t="s">
        <v>240</v>
      </c>
      <c r="J25" s="23" t="s">
        <v>68</v>
      </c>
      <c r="K25" s="23">
        <v>1</v>
      </c>
      <c r="L25" s="23">
        <v>27</v>
      </c>
      <c r="M25" s="23" t="s">
        <v>222</v>
      </c>
      <c r="N25" s="23" t="s">
        <v>206</v>
      </c>
      <c r="O25" s="23" t="s">
        <v>95</v>
      </c>
      <c r="P25" s="23">
        <v>24</v>
      </c>
      <c r="Q25" s="23">
        <v>3</v>
      </c>
      <c r="R25" s="23" t="s">
        <v>207</v>
      </c>
      <c r="S25" s="23" t="s">
        <v>93</v>
      </c>
      <c r="T25" s="23" t="s">
        <v>81</v>
      </c>
    </row>
    <row r="26" spans="1:20" x14ac:dyDescent="0.25">
      <c r="A26" s="23" t="s">
        <v>264</v>
      </c>
      <c r="B26" s="23" t="s">
        <v>239</v>
      </c>
      <c r="C26" s="23" t="s">
        <v>200</v>
      </c>
      <c r="D26" s="23" t="s">
        <v>250</v>
      </c>
      <c r="E26" s="23" t="s">
        <v>212</v>
      </c>
      <c r="F26" s="23" t="s">
        <v>203</v>
      </c>
      <c r="G26" s="23" t="s">
        <v>220</v>
      </c>
      <c r="H26" s="23" t="s">
        <v>95</v>
      </c>
      <c r="I26" s="23" t="s">
        <v>221</v>
      </c>
      <c r="J26" s="23" t="s">
        <v>70</v>
      </c>
      <c r="K26" s="23">
        <v>8.1999999999999993</v>
      </c>
      <c r="L26" s="23">
        <v>92</v>
      </c>
      <c r="M26" s="23" t="s">
        <v>222</v>
      </c>
      <c r="N26" s="23" t="s">
        <v>206</v>
      </c>
      <c r="O26" s="23" t="s">
        <v>95</v>
      </c>
      <c r="P26" s="23">
        <v>76</v>
      </c>
      <c r="Q26" s="23">
        <v>3</v>
      </c>
      <c r="R26" s="23" t="s">
        <v>207</v>
      </c>
      <c r="S26" s="23" t="s">
        <v>93</v>
      </c>
      <c r="T26" s="23" t="s">
        <v>81</v>
      </c>
    </row>
    <row r="27" spans="1:20" x14ac:dyDescent="0.25">
      <c r="A27" s="23" t="s">
        <v>265</v>
      </c>
      <c r="B27" s="23" t="s">
        <v>209</v>
      </c>
      <c r="C27" s="23" t="s">
        <v>200</v>
      </c>
      <c r="D27" s="23" t="s">
        <v>211</v>
      </c>
      <c r="E27" s="23" t="s">
        <v>212</v>
      </c>
      <c r="F27" s="23" t="s">
        <v>203</v>
      </c>
      <c r="G27" s="23" t="s">
        <v>204</v>
      </c>
      <c r="H27" s="23" t="s">
        <v>95</v>
      </c>
      <c r="I27" s="23" t="s">
        <v>221</v>
      </c>
      <c r="J27" s="23" t="s">
        <v>68</v>
      </c>
      <c r="K27" s="23">
        <v>4.3</v>
      </c>
      <c r="L27" s="23">
        <v>39</v>
      </c>
      <c r="M27" s="23" t="s">
        <v>225</v>
      </c>
      <c r="N27" s="23" t="s">
        <v>206</v>
      </c>
      <c r="O27" s="23" t="s">
        <v>95</v>
      </c>
      <c r="P27" s="23">
        <v>54</v>
      </c>
      <c r="Q27" s="23">
        <v>3</v>
      </c>
      <c r="R27" s="23" t="s">
        <v>216</v>
      </c>
      <c r="S27" s="23" t="s">
        <v>94</v>
      </c>
      <c r="T27" s="23" t="s">
        <v>81</v>
      </c>
    </row>
    <row r="28" spans="1:20" x14ac:dyDescent="0.25">
      <c r="A28" s="23" t="s">
        <v>266</v>
      </c>
      <c r="B28" s="23" t="s">
        <v>252</v>
      </c>
      <c r="C28" s="23" t="s">
        <v>210</v>
      </c>
      <c r="D28" s="23" t="s">
        <v>201</v>
      </c>
      <c r="E28" s="23" t="s">
        <v>212</v>
      </c>
      <c r="F28" s="23" t="s">
        <v>203</v>
      </c>
      <c r="G28" s="23" t="s">
        <v>220</v>
      </c>
      <c r="H28" s="23" t="s">
        <v>95</v>
      </c>
      <c r="I28" s="23" t="s">
        <v>240</v>
      </c>
      <c r="J28" s="23" t="s">
        <v>72</v>
      </c>
      <c r="K28" s="23">
        <v>0.8</v>
      </c>
      <c r="L28" s="23">
        <v>23</v>
      </c>
      <c r="M28" s="23" t="s">
        <v>41</v>
      </c>
      <c r="N28" s="23" t="s">
        <v>234</v>
      </c>
      <c r="O28" s="23" t="s">
        <v>95</v>
      </c>
      <c r="P28" s="23">
        <v>75</v>
      </c>
      <c r="Q28" s="23">
        <v>1</v>
      </c>
      <c r="R28" s="23" t="s">
        <v>216</v>
      </c>
      <c r="S28" s="23" t="s">
        <v>93</v>
      </c>
      <c r="T28" s="23" t="s">
        <v>82</v>
      </c>
    </row>
    <row r="29" spans="1:20" x14ac:dyDescent="0.25">
      <c r="A29" s="23" t="s">
        <v>267</v>
      </c>
      <c r="B29" s="23" t="s">
        <v>199</v>
      </c>
      <c r="C29" s="23" t="s">
        <v>200</v>
      </c>
      <c r="D29" s="23" t="s">
        <v>261</v>
      </c>
      <c r="E29" s="23" t="s">
        <v>202</v>
      </c>
      <c r="F29" s="23" t="s">
        <v>213</v>
      </c>
      <c r="G29" s="23" t="s">
        <v>204</v>
      </c>
      <c r="H29" s="23" t="s">
        <v>95</v>
      </c>
      <c r="I29" s="23" t="s">
        <v>221</v>
      </c>
      <c r="J29" s="23" t="s">
        <v>69</v>
      </c>
      <c r="K29" s="23">
        <v>4.3</v>
      </c>
      <c r="L29" s="23">
        <v>45</v>
      </c>
      <c r="M29" s="23" t="s">
        <v>222</v>
      </c>
      <c r="N29" s="23" t="s">
        <v>206</v>
      </c>
      <c r="O29" s="23" t="s">
        <v>93</v>
      </c>
      <c r="P29" s="23">
        <v>41</v>
      </c>
      <c r="Q29" s="23">
        <v>4</v>
      </c>
      <c r="R29" s="23" t="s">
        <v>229</v>
      </c>
      <c r="S29" s="23" t="s">
        <v>94</v>
      </c>
      <c r="T29" s="23" t="s">
        <v>81</v>
      </c>
    </row>
    <row r="30" spans="1:20" x14ac:dyDescent="0.25">
      <c r="A30" s="23" t="s">
        <v>268</v>
      </c>
      <c r="B30" s="23" t="s">
        <v>236</v>
      </c>
      <c r="C30" s="23" t="s">
        <v>200</v>
      </c>
      <c r="D30" s="23" t="s">
        <v>201</v>
      </c>
      <c r="E30" s="23" t="s">
        <v>202</v>
      </c>
      <c r="F30" s="23" t="s">
        <v>203</v>
      </c>
      <c r="G30" s="23" t="s">
        <v>220</v>
      </c>
      <c r="H30" s="23" t="s">
        <v>95</v>
      </c>
      <c r="I30" s="23" t="s">
        <v>205</v>
      </c>
      <c r="J30" s="23" t="s">
        <v>68</v>
      </c>
      <c r="K30" s="23">
        <v>3.4</v>
      </c>
      <c r="L30" s="23">
        <v>42</v>
      </c>
      <c r="M30" s="23" t="s">
        <v>244</v>
      </c>
      <c r="N30" s="23" t="s">
        <v>206</v>
      </c>
      <c r="O30" s="23" t="s">
        <v>95</v>
      </c>
      <c r="P30" s="23">
        <v>48</v>
      </c>
      <c r="Q30" s="23">
        <v>3</v>
      </c>
      <c r="R30" s="23" t="s">
        <v>216</v>
      </c>
      <c r="S30" s="23" t="s">
        <v>95</v>
      </c>
      <c r="T30" s="23" t="s">
        <v>83</v>
      </c>
    </row>
    <row r="31" spans="1:20" x14ac:dyDescent="0.25">
      <c r="A31" s="23" t="s">
        <v>269</v>
      </c>
      <c r="B31" s="23" t="s">
        <v>218</v>
      </c>
      <c r="C31" s="23" t="s">
        <v>210</v>
      </c>
      <c r="D31" s="23" t="s">
        <v>250</v>
      </c>
      <c r="E31" s="23" t="s">
        <v>202</v>
      </c>
      <c r="F31" s="23" t="s">
        <v>203</v>
      </c>
      <c r="G31" s="23" t="s">
        <v>220</v>
      </c>
      <c r="H31" s="23" t="s">
        <v>95</v>
      </c>
      <c r="I31" s="23" t="s">
        <v>214</v>
      </c>
      <c r="J31" s="23" t="s">
        <v>68</v>
      </c>
      <c r="K31" s="23">
        <v>2.1</v>
      </c>
      <c r="L31" s="23">
        <v>40</v>
      </c>
      <c r="M31" s="23" t="s">
        <v>41</v>
      </c>
      <c r="N31" s="23" t="s">
        <v>206</v>
      </c>
      <c r="O31" s="23" t="s">
        <v>95</v>
      </c>
      <c r="P31" s="23">
        <v>42</v>
      </c>
      <c r="Q31" s="23">
        <v>4</v>
      </c>
      <c r="R31" s="23" t="s">
        <v>229</v>
      </c>
      <c r="S31" s="23" t="s">
        <v>93</v>
      </c>
      <c r="T31" s="23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5" customWidth="1"/>
    <col min="3" max="5" width="14" customWidth="1"/>
    <col min="6" max="6" width="19" customWidth="1"/>
    <col min="7" max="7" width="18" customWidth="1"/>
    <col min="8" max="8" width="32" customWidth="1"/>
    <col min="9" max="9" width="18" customWidth="1"/>
    <col min="10" max="10" width="27" customWidth="1"/>
    <col min="11" max="11" width="23" customWidth="1"/>
    <col min="12" max="12" width="21" customWidth="1"/>
    <col min="13" max="13" width="28" customWidth="1"/>
    <col min="14" max="14" width="30" customWidth="1"/>
    <col min="15" max="15" width="26" customWidth="1"/>
    <col min="16" max="16" width="24" customWidth="1"/>
    <col min="17" max="17" width="32" customWidth="1"/>
    <col min="18" max="18" width="15" customWidth="1"/>
  </cols>
  <sheetData>
    <row r="1" spans="1:18" ht="25.5" x14ac:dyDescent="0.25">
      <c r="A1" s="22" t="s">
        <v>270</v>
      </c>
      <c r="B1" s="22" t="s">
        <v>271</v>
      </c>
      <c r="C1" s="22" t="s">
        <v>272</v>
      </c>
      <c r="D1" s="22" t="s">
        <v>273</v>
      </c>
      <c r="E1" s="22" t="s">
        <v>181</v>
      </c>
      <c r="F1" s="22" t="s">
        <v>183</v>
      </c>
      <c r="G1" s="22" t="s">
        <v>274</v>
      </c>
      <c r="H1" s="22" t="s">
        <v>275</v>
      </c>
      <c r="I1" s="22" t="s">
        <v>276</v>
      </c>
      <c r="J1" s="22" t="s">
        <v>188</v>
      </c>
      <c r="K1" s="22" t="s">
        <v>189</v>
      </c>
      <c r="L1" s="22" t="s">
        <v>277</v>
      </c>
      <c r="M1" s="22" t="s">
        <v>187</v>
      </c>
      <c r="N1" s="22" t="s">
        <v>278</v>
      </c>
      <c r="O1" s="22" t="s">
        <v>279</v>
      </c>
      <c r="P1" s="22" t="s">
        <v>280</v>
      </c>
      <c r="Q1" s="22" t="s">
        <v>191</v>
      </c>
      <c r="R1" s="22" t="s">
        <v>281</v>
      </c>
    </row>
    <row r="2" spans="1:18" x14ac:dyDescent="0.25">
      <c r="A2" s="23" t="s">
        <v>282</v>
      </c>
      <c r="B2" s="23" t="s">
        <v>283</v>
      </c>
      <c r="C2" s="23" t="s">
        <v>284</v>
      </c>
      <c r="D2" s="23" t="s">
        <v>285</v>
      </c>
      <c r="E2" s="23" t="s">
        <v>200</v>
      </c>
      <c r="F2" s="23" t="s">
        <v>203</v>
      </c>
      <c r="G2" s="23" t="s">
        <v>202</v>
      </c>
      <c r="H2" s="23" t="s">
        <v>219</v>
      </c>
      <c r="I2" s="23" t="s">
        <v>204</v>
      </c>
      <c r="J2" s="23">
        <v>5.4</v>
      </c>
      <c r="K2" s="23">
        <v>61</v>
      </c>
      <c r="L2" s="23" t="s">
        <v>93</v>
      </c>
      <c r="M2" s="23" t="s">
        <v>74</v>
      </c>
      <c r="N2" s="23" t="s">
        <v>228</v>
      </c>
      <c r="O2" s="23" t="s">
        <v>93</v>
      </c>
      <c r="P2" s="23" t="s">
        <v>83</v>
      </c>
      <c r="Q2" s="23" t="s">
        <v>206</v>
      </c>
      <c r="R2" s="23" t="s">
        <v>68</v>
      </c>
    </row>
    <row r="3" spans="1:18" x14ac:dyDescent="0.25">
      <c r="A3" s="23" t="s">
        <v>286</v>
      </c>
      <c r="B3" s="23" t="s">
        <v>287</v>
      </c>
      <c r="C3" s="23" t="s">
        <v>284</v>
      </c>
      <c r="D3" s="23" t="s">
        <v>285</v>
      </c>
      <c r="E3" s="23" t="s">
        <v>200</v>
      </c>
      <c r="F3" s="23" t="s">
        <v>203</v>
      </c>
      <c r="G3" s="23" t="s">
        <v>202</v>
      </c>
      <c r="H3" s="23" t="s">
        <v>219</v>
      </c>
      <c r="I3" s="23" t="s">
        <v>220</v>
      </c>
      <c r="J3" s="23">
        <v>4.9000000000000004</v>
      </c>
      <c r="K3" s="23">
        <v>53</v>
      </c>
      <c r="L3" s="23" t="s">
        <v>93</v>
      </c>
      <c r="M3" s="23" t="s">
        <v>69</v>
      </c>
      <c r="N3" s="23" t="s">
        <v>225</v>
      </c>
      <c r="O3" s="23" t="s">
        <v>94</v>
      </c>
      <c r="P3" s="23" t="s">
        <v>84</v>
      </c>
      <c r="Q3" s="23" t="s">
        <v>206</v>
      </c>
      <c r="R3" s="23" t="s">
        <v>68</v>
      </c>
    </row>
    <row r="4" spans="1:18" x14ac:dyDescent="0.25">
      <c r="A4" s="23" t="s">
        <v>288</v>
      </c>
      <c r="B4" s="23" t="s">
        <v>289</v>
      </c>
      <c r="C4" s="23" t="s">
        <v>284</v>
      </c>
      <c r="D4" s="23" t="s">
        <v>285</v>
      </c>
      <c r="E4" s="23" t="s">
        <v>200</v>
      </c>
      <c r="F4" s="23" t="s">
        <v>203</v>
      </c>
      <c r="G4" s="23" t="s">
        <v>212</v>
      </c>
      <c r="H4" s="23" t="s">
        <v>219</v>
      </c>
      <c r="I4" s="23" t="s">
        <v>220</v>
      </c>
      <c r="J4" s="23">
        <v>9.3000000000000007</v>
      </c>
      <c r="K4" s="23">
        <v>89</v>
      </c>
      <c r="L4" s="23" t="s">
        <v>93</v>
      </c>
      <c r="M4" s="23" t="s">
        <v>68</v>
      </c>
      <c r="N4" s="23" t="s">
        <v>40</v>
      </c>
      <c r="O4" s="23" t="s">
        <v>93</v>
      </c>
      <c r="P4" s="23" t="s">
        <v>84</v>
      </c>
      <c r="Q4" s="23" t="s">
        <v>206</v>
      </c>
      <c r="R4" s="23" t="s">
        <v>68</v>
      </c>
    </row>
    <row r="5" spans="1:18" x14ac:dyDescent="0.25">
      <c r="A5" s="23" t="s">
        <v>290</v>
      </c>
      <c r="B5" s="23" t="s">
        <v>291</v>
      </c>
      <c r="C5" s="23" t="s">
        <v>284</v>
      </c>
      <c r="D5" s="23" t="s">
        <v>285</v>
      </c>
      <c r="E5" s="23" t="s">
        <v>210</v>
      </c>
      <c r="F5" s="23" t="s">
        <v>203</v>
      </c>
      <c r="G5" s="23" t="s">
        <v>202</v>
      </c>
      <c r="H5" s="23" t="s">
        <v>250</v>
      </c>
      <c r="I5" s="23" t="s">
        <v>204</v>
      </c>
      <c r="J5" s="23">
        <v>1.7</v>
      </c>
      <c r="K5" s="23">
        <v>22</v>
      </c>
      <c r="L5" s="23" t="s">
        <v>95</v>
      </c>
      <c r="M5" s="23" t="s">
        <v>75</v>
      </c>
      <c r="N5" s="23" t="s">
        <v>292</v>
      </c>
      <c r="O5" s="23" t="s">
        <v>93</v>
      </c>
      <c r="P5" s="23" t="s">
        <v>86</v>
      </c>
      <c r="Q5" s="23" t="s">
        <v>206</v>
      </c>
      <c r="R5" s="23" t="s">
        <v>68</v>
      </c>
    </row>
    <row r="6" spans="1:18" x14ac:dyDescent="0.25">
      <c r="A6" s="23" t="s">
        <v>293</v>
      </c>
      <c r="B6" s="23" t="s">
        <v>283</v>
      </c>
      <c r="C6" s="23" t="s">
        <v>284</v>
      </c>
      <c r="D6" s="23" t="s">
        <v>285</v>
      </c>
      <c r="E6" s="23" t="s">
        <v>200</v>
      </c>
      <c r="F6" s="23" t="s">
        <v>203</v>
      </c>
      <c r="G6" s="23" t="s">
        <v>212</v>
      </c>
      <c r="H6" s="23" t="s">
        <v>201</v>
      </c>
      <c r="I6" s="23" t="s">
        <v>220</v>
      </c>
      <c r="J6" s="23">
        <v>1.1000000000000001</v>
      </c>
      <c r="K6" s="23">
        <v>20</v>
      </c>
      <c r="L6" s="23" t="s">
        <v>95</v>
      </c>
      <c r="M6" s="23" t="s">
        <v>75</v>
      </c>
      <c r="N6" s="23" t="s">
        <v>292</v>
      </c>
      <c r="O6" s="23" t="s">
        <v>95</v>
      </c>
      <c r="P6" s="23" t="s">
        <v>83</v>
      </c>
      <c r="Q6" s="23" t="s">
        <v>206</v>
      </c>
      <c r="R6" s="23" t="s">
        <v>68</v>
      </c>
    </row>
    <row r="7" spans="1:18" x14ac:dyDescent="0.25">
      <c r="A7" s="23" t="s">
        <v>294</v>
      </c>
      <c r="B7" s="23" t="s">
        <v>295</v>
      </c>
      <c r="C7" s="23" t="s">
        <v>284</v>
      </c>
      <c r="D7" s="23" t="s">
        <v>285</v>
      </c>
      <c r="E7" s="23" t="s">
        <v>200</v>
      </c>
      <c r="F7" s="23" t="s">
        <v>203</v>
      </c>
      <c r="G7" s="23" t="s">
        <v>202</v>
      </c>
      <c r="H7" s="23" t="s">
        <v>201</v>
      </c>
      <c r="I7" s="23" t="s">
        <v>220</v>
      </c>
      <c r="J7" s="23">
        <v>5.6</v>
      </c>
      <c r="K7" s="23">
        <v>62</v>
      </c>
      <c r="L7" s="23" t="s">
        <v>93</v>
      </c>
      <c r="M7" s="23" t="s">
        <v>70</v>
      </c>
      <c r="N7" s="23" t="s">
        <v>38</v>
      </c>
      <c r="O7" s="23" t="s">
        <v>94</v>
      </c>
      <c r="P7" s="23" t="s">
        <v>82</v>
      </c>
      <c r="Q7" s="23" t="s">
        <v>234</v>
      </c>
      <c r="R7" s="23" t="s">
        <v>296</v>
      </c>
    </row>
    <row r="8" spans="1:18" x14ac:dyDescent="0.25">
      <c r="A8" s="23" t="s">
        <v>297</v>
      </c>
      <c r="B8" s="23" t="s">
        <v>289</v>
      </c>
      <c r="C8" s="23" t="s">
        <v>284</v>
      </c>
      <c r="D8" s="23" t="s">
        <v>285</v>
      </c>
      <c r="E8" s="23" t="s">
        <v>210</v>
      </c>
      <c r="F8" s="23" t="s">
        <v>213</v>
      </c>
      <c r="G8" s="23" t="s">
        <v>202</v>
      </c>
      <c r="H8" s="23" t="s">
        <v>261</v>
      </c>
      <c r="I8" s="23" t="s">
        <v>254</v>
      </c>
      <c r="J8" s="23">
        <v>2.2000000000000002</v>
      </c>
      <c r="K8" s="23">
        <v>36</v>
      </c>
      <c r="L8" s="23" t="s">
        <v>93</v>
      </c>
      <c r="M8" s="23" t="s">
        <v>71</v>
      </c>
      <c r="N8" s="23" t="s">
        <v>32</v>
      </c>
      <c r="O8" s="23" t="s">
        <v>93</v>
      </c>
      <c r="P8" s="23" t="s">
        <v>83</v>
      </c>
      <c r="Q8" s="23" t="s">
        <v>206</v>
      </c>
      <c r="R8" s="23" t="s">
        <v>68</v>
      </c>
    </row>
    <row r="9" spans="1:18" x14ac:dyDescent="0.25">
      <c r="A9" s="23" t="s">
        <v>298</v>
      </c>
      <c r="B9" s="23" t="s">
        <v>299</v>
      </c>
      <c r="C9" s="23" t="s">
        <v>284</v>
      </c>
      <c r="D9" s="23" t="s">
        <v>285</v>
      </c>
      <c r="E9" s="23" t="s">
        <v>210</v>
      </c>
      <c r="F9" s="23" t="s">
        <v>203</v>
      </c>
      <c r="G9" s="23" t="s">
        <v>212</v>
      </c>
      <c r="H9" s="23" t="s">
        <v>250</v>
      </c>
      <c r="I9" s="23" t="s">
        <v>204</v>
      </c>
      <c r="J9" s="23"/>
      <c r="K9" s="23">
        <v>24</v>
      </c>
      <c r="L9" s="23" t="s">
        <v>93</v>
      </c>
      <c r="M9" s="23" t="s">
        <v>69</v>
      </c>
      <c r="N9" s="23" t="s">
        <v>225</v>
      </c>
      <c r="O9" s="23" t="s">
        <v>93</v>
      </c>
      <c r="P9" s="23" t="s">
        <v>85</v>
      </c>
      <c r="Q9" s="23" t="s">
        <v>206</v>
      </c>
      <c r="R9" s="23" t="s">
        <v>68</v>
      </c>
    </row>
    <row r="10" spans="1:18" x14ac:dyDescent="0.25">
      <c r="A10" s="23" t="s">
        <v>300</v>
      </c>
      <c r="B10" s="23" t="s">
        <v>283</v>
      </c>
      <c r="C10" s="23" t="s">
        <v>284</v>
      </c>
      <c r="D10" s="23" t="s">
        <v>285</v>
      </c>
      <c r="E10" s="23" t="s">
        <v>210</v>
      </c>
      <c r="F10" s="23" t="s">
        <v>213</v>
      </c>
      <c r="G10" s="23" t="s">
        <v>202</v>
      </c>
      <c r="H10" s="23" t="s">
        <v>253</v>
      </c>
      <c r="I10" s="23" t="s">
        <v>254</v>
      </c>
      <c r="J10" s="23">
        <v>2.8</v>
      </c>
      <c r="K10" s="23">
        <v>43</v>
      </c>
      <c r="L10" s="23" t="s">
        <v>95</v>
      </c>
      <c r="M10" s="23" t="s">
        <v>75</v>
      </c>
      <c r="N10" s="23" t="s">
        <v>292</v>
      </c>
      <c r="O10" s="23" t="s">
        <v>94</v>
      </c>
      <c r="P10" s="23" t="s">
        <v>84</v>
      </c>
      <c r="Q10" s="23" t="s">
        <v>206</v>
      </c>
      <c r="R10" s="23" t="s">
        <v>68</v>
      </c>
    </row>
    <row r="11" spans="1:18" x14ac:dyDescent="0.25">
      <c r="A11" s="23" t="s">
        <v>301</v>
      </c>
      <c r="B11" s="23" t="s">
        <v>299</v>
      </c>
      <c r="C11" s="23" t="s">
        <v>284</v>
      </c>
      <c r="D11" s="23" t="s">
        <v>285</v>
      </c>
      <c r="E11" s="23" t="s">
        <v>200</v>
      </c>
      <c r="F11" s="23" t="s">
        <v>203</v>
      </c>
      <c r="G11" s="23" t="s">
        <v>202</v>
      </c>
      <c r="H11" s="23" t="s">
        <v>201</v>
      </c>
      <c r="I11" s="23" t="s">
        <v>204</v>
      </c>
      <c r="J11" s="23">
        <v>2.4</v>
      </c>
      <c r="K11" s="23">
        <v>45</v>
      </c>
      <c r="L11" s="23" t="s">
        <v>93</v>
      </c>
      <c r="M11" s="23" t="s">
        <v>68</v>
      </c>
      <c r="N11" s="23" t="s">
        <v>228</v>
      </c>
      <c r="O11" s="23" t="s">
        <v>93</v>
      </c>
      <c r="P11" s="23" t="s">
        <v>86</v>
      </c>
      <c r="Q11" s="23" t="s">
        <v>206</v>
      </c>
      <c r="R11" s="23" t="s">
        <v>68</v>
      </c>
    </row>
    <row r="12" spans="1:18" x14ac:dyDescent="0.25">
      <c r="A12" s="23" t="s">
        <v>302</v>
      </c>
      <c r="B12" s="23" t="s">
        <v>303</v>
      </c>
      <c r="C12" s="23" t="s">
        <v>284</v>
      </c>
      <c r="D12" s="23" t="s">
        <v>285</v>
      </c>
      <c r="E12" s="23" t="s">
        <v>210</v>
      </c>
      <c r="F12" s="23" t="s">
        <v>203</v>
      </c>
      <c r="G12" s="23" t="s">
        <v>212</v>
      </c>
      <c r="H12" s="23" t="s">
        <v>219</v>
      </c>
      <c r="I12" s="23" t="s">
        <v>220</v>
      </c>
      <c r="J12" s="23">
        <v>4.2</v>
      </c>
      <c r="K12" s="23">
        <v>46</v>
      </c>
      <c r="L12" s="23" t="s">
        <v>93</v>
      </c>
      <c r="M12" s="23" t="s">
        <v>73</v>
      </c>
      <c r="N12" s="23" t="s">
        <v>32</v>
      </c>
      <c r="O12" s="23" t="s">
        <v>93</v>
      </c>
      <c r="P12" s="23" t="s">
        <v>82</v>
      </c>
      <c r="Q12" s="23" t="s">
        <v>206</v>
      </c>
      <c r="R12" s="23" t="s">
        <v>68</v>
      </c>
    </row>
    <row r="13" spans="1:18" x14ac:dyDescent="0.25">
      <c r="A13" s="23" t="s">
        <v>304</v>
      </c>
      <c r="B13" s="23" t="s">
        <v>289</v>
      </c>
      <c r="C13" s="23" t="s">
        <v>284</v>
      </c>
      <c r="D13" s="23" t="s">
        <v>285</v>
      </c>
      <c r="E13" s="23" t="s">
        <v>200</v>
      </c>
      <c r="F13" s="23" t="s">
        <v>203</v>
      </c>
      <c r="G13" s="23" t="s">
        <v>202</v>
      </c>
      <c r="H13" s="23" t="s">
        <v>201</v>
      </c>
      <c r="I13" s="23" t="s">
        <v>220</v>
      </c>
      <c r="J13" s="23">
        <v>5.9</v>
      </c>
      <c r="K13" s="23">
        <v>61</v>
      </c>
      <c r="L13" s="23" t="s">
        <v>93</v>
      </c>
      <c r="M13" s="23" t="s">
        <v>72</v>
      </c>
      <c r="N13" s="23" t="s">
        <v>40</v>
      </c>
      <c r="O13" s="23" t="s">
        <v>93</v>
      </c>
      <c r="P13" s="23" t="s">
        <v>82</v>
      </c>
      <c r="Q13" s="23" t="s">
        <v>234</v>
      </c>
      <c r="R13" s="23" t="s">
        <v>296</v>
      </c>
    </row>
    <row r="14" spans="1:18" x14ac:dyDescent="0.25">
      <c r="A14" s="23" t="s">
        <v>305</v>
      </c>
      <c r="B14" s="23" t="s">
        <v>291</v>
      </c>
      <c r="C14" s="23" t="s">
        <v>284</v>
      </c>
      <c r="D14" s="23" t="s">
        <v>285</v>
      </c>
      <c r="E14" s="23" t="s">
        <v>200</v>
      </c>
      <c r="F14" s="23" t="s">
        <v>203</v>
      </c>
      <c r="G14" s="23" t="s">
        <v>202</v>
      </c>
      <c r="H14" s="23" t="s">
        <v>219</v>
      </c>
      <c r="I14" s="23" t="s">
        <v>220</v>
      </c>
      <c r="J14" s="23">
        <v>6.6</v>
      </c>
      <c r="K14" s="23">
        <v>61</v>
      </c>
      <c r="L14" s="23" t="s">
        <v>95</v>
      </c>
      <c r="M14" s="23" t="s">
        <v>75</v>
      </c>
      <c r="N14" s="23" t="s">
        <v>292</v>
      </c>
      <c r="O14" s="23" t="s">
        <v>93</v>
      </c>
      <c r="P14" s="23" t="s">
        <v>86</v>
      </c>
      <c r="Q14" s="23" t="s">
        <v>206</v>
      </c>
      <c r="R14" s="23" t="s">
        <v>296</v>
      </c>
    </row>
    <row r="15" spans="1:18" x14ac:dyDescent="0.25">
      <c r="A15" s="23" t="s">
        <v>306</v>
      </c>
      <c r="B15" s="23" t="s">
        <v>295</v>
      </c>
      <c r="C15" s="23" t="s">
        <v>284</v>
      </c>
      <c r="D15" s="23" t="s">
        <v>285</v>
      </c>
      <c r="E15" s="23" t="s">
        <v>210</v>
      </c>
      <c r="F15" s="23" t="s">
        <v>203</v>
      </c>
      <c r="G15" s="23" t="s">
        <v>202</v>
      </c>
      <c r="H15" s="23" t="s">
        <v>211</v>
      </c>
      <c r="I15" s="23" t="s">
        <v>256</v>
      </c>
      <c r="J15" s="23">
        <v>3.5</v>
      </c>
      <c r="K15" s="23">
        <v>48</v>
      </c>
      <c r="L15" s="23" t="s">
        <v>93</v>
      </c>
      <c r="M15" s="23" t="s">
        <v>71</v>
      </c>
      <c r="N15" s="23" t="s">
        <v>225</v>
      </c>
      <c r="O15" s="23" t="s">
        <v>94</v>
      </c>
      <c r="P15" s="23" t="s">
        <v>84</v>
      </c>
      <c r="Q15" s="23" t="s">
        <v>206</v>
      </c>
      <c r="R15" s="23" t="s">
        <v>296</v>
      </c>
    </row>
    <row r="16" spans="1:18" x14ac:dyDescent="0.25">
      <c r="A16" s="23" t="s">
        <v>307</v>
      </c>
      <c r="B16" s="23" t="s">
        <v>295</v>
      </c>
      <c r="C16" s="23" t="s">
        <v>284</v>
      </c>
      <c r="D16" s="23" t="s">
        <v>285</v>
      </c>
      <c r="E16" s="23" t="s">
        <v>210</v>
      </c>
      <c r="F16" s="23" t="s">
        <v>213</v>
      </c>
      <c r="G16" s="23" t="s">
        <v>202</v>
      </c>
      <c r="H16" s="23" t="s">
        <v>308</v>
      </c>
      <c r="I16" s="23" t="s">
        <v>204</v>
      </c>
      <c r="J16" s="23">
        <v>2.7</v>
      </c>
      <c r="K16" s="23">
        <v>41</v>
      </c>
      <c r="L16" s="23" t="s">
        <v>95</v>
      </c>
      <c r="M16" s="23" t="s">
        <v>75</v>
      </c>
      <c r="N16" s="23" t="s">
        <v>292</v>
      </c>
      <c r="O16" s="23" t="s">
        <v>94</v>
      </c>
      <c r="P16" s="23" t="s">
        <v>85</v>
      </c>
      <c r="Q16" s="23" t="s">
        <v>206</v>
      </c>
      <c r="R16" s="23" t="s">
        <v>296</v>
      </c>
    </row>
    <row r="17" spans="1:18" x14ac:dyDescent="0.25">
      <c r="A17" s="23" t="s">
        <v>309</v>
      </c>
      <c r="B17" s="23" t="s">
        <v>287</v>
      </c>
      <c r="C17" s="23" t="s">
        <v>284</v>
      </c>
      <c r="D17" s="23" t="s">
        <v>285</v>
      </c>
      <c r="E17" s="23" t="s">
        <v>200</v>
      </c>
      <c r="F17" s="23" t="s">
        <v>203</v>
      </c>
      <c r="G17" s="23" t="s">
        <v>212</v>
      </c>
      <c r="H17" s="23" t="s">
        <v>201</v>
      </c>
      <c r="I17" s="23" t="s">
        <v>220</v>
      </c>
      <c r="J17" s="23">
        <v>2.5</v>
      </c>
      <c r="K17" s="23"/>
      <c r="L17" s="23" t="s">
        <v>93</v>
      </c>
      <c r="M17" s="23" t="s">
        <v>70</v>
      </c>
      <c r="N17" s="23" t="s">
        <v>32</v>
      </c>
      <c r="O17" s="23" t="s">
        <v>95</v>
      </c>
      <c r="P17" s="23" t="s">
        <v>83</v>
      </c>
      <c r="Q17" s="23" t="s">
        <v>206</v>
      </c>
      <c r="R17" s="23" t="s">
        <v>68</v>
      </c>
    </row>
    <row r="18" spans="1:18" x14ac:dyDescent="0.25">
      <c r="A18" s="23" t="s">
        <v>310</v>
      </c>
      <c r="B18" s="23" t="s">
        <v>295</v>
      </c>
      <c r="C18" s="23" t="s">
        <v>284</v>
      </c>
      <c r="D18" s="23" t="s">
        <v>285</v>
      </c>
      <c r="E18" s="23" t="s">
        <v>200</v>
      </c>
      <c r="F18" s="23" t="s">
        <v>203</v>
      </c>
      <c r="G18" s="23" t="s">
        <v>212</v>
      </c>
      <c r="H18" s="23" t="s">
        <v>219</v>
      </c>
      <c r="I18" s="23" t="s">
        <v>204</v>
      </c>
      <c r="J18" s="23">
        <v>0.8</v>
      </c>
      <c r="K18" s="23">
        <v>22</v>
      </c>
      <c r="L18" s="23" t="s">
        <v>93</v>
      </c>
      <c r="M18" s="23" t="s">
        <v>68</v>
      </c>
      <c r="N18" s="23" t="s">
        <v>228</v>
      </c>
      <c r="O18" s="23" t="s">
        <v>93</v>
      </c>
      <c r="P18" s="23" t="s">
        <v>87</v>
      </c>
      <c r="Q18" s="23" t="s">
        <v>206</v>
      </c>
      <c r="R18" s="23" t="s">
        <v>68</v>
      </c>
    </row>
    <row r="19" spans="1:18" x14ac:dyDescent="0.25">
      <c r="A19" s="23" t="s">
        <v>311</v>
      </c>
      <c r="B19" s="23" t="s">
        <v>312</v>
      </c>
      <c r="C19" s="23" t="s">
        <v>284</v>
      </c>
      <c r="D19" s="23" t="s">
        <v>285</v>
      </c>
      <c r="E19" s="23" t="s">
        <v>210</v>
      </c>
      <c r="F19" s="23" t="s">
        <v>203</v>
      </c>
      <c r="G19" s="23" t="s">
        <v>212</v>
      </c>
      <c r="H19" s="23" t="s">
        <v>219</v>
      </c>
      <c r="I19" s="23" t="s">
        <v>204</v>
      </c>
      <c r="J19" s="23">
        <v>3.9</v>
      </c>
      <c r="K19" s="23">
        <v>51</v>
      </c>
      <c r="L19" s="23" t="s">
        <v>93</v>
      </c>
      <c r="M19" s="23" t="s">
        <v>71</v>
      </c>
      <c r="N19" s="23" t="s">
        <v>228</v>
      </c>
      <c r="O19" s="23" t="s">
        <v>95</v>
      </c>
      <c r="P19" s="23" t="s">
        <v>81</v>
      </c>
      <c r="Q19" s="23" t="s">
        <v>206</v>
      </c>
      <c r="R19" s="23" t="s">
        <v>296</v>
      </c>
    </row>
    <row r="20" spans="1:18" x14ac:dyDescent="0.25">
      <c r="A20" s="23" t="s">
        <v>313</v>
      </c>
      <c r="B20" s="23" t="s">
        <v>314</v>
      </c>
      <c r="C20" s="23" t="s">
        <v>284</v>
      </c>
      <c r="D20" s="23" t="s">
        <v>285</v>
      </c>
      <c r="E20" s="23" t="s">
        <v>200</v>
      </c>
      <c r="F20" s="23" t="s">
        <v>203</v>
      </c>
      <c r="G20" s="23" t="s">
        <v>212</v>
      </c>
      <c r="H20" s="23" t="s">
        <v>201</v>
      </c>
      <c r="I20" s="23" t="s">
        <v>220</v>
      </c>
      <c r="J20" s="23">
        <v>4.0999999999999996</v>
      </c>
      <c r="K20" s="23">
        <v>48</v>
      </c>
      <c r="L20" s="23" t="s">
        <v>95</v>
      </c>
      <c r="M20" s="23" t="s">
        <v>75</v>
      </c>
      <c r="N20" s="23" t="s">
        <v>292</v>
      </c>
      <c r="O20" s="23" t="s">
        <v>93</v>
      </c>
      <c r="P20" s="23" t="s">
        <v>83</v>
      </c>
      <c r="Q20" s="23" t="s">
        <v>206</v>
      </c>
      <c r="R20" s="23" t="s">
        <v>68</v>
      </c>
    </row>
    <row r="21" spans="1:18" x14ac:dyDescent="0.25">
      <c r="A21" s="23" t="s">
        <v>315</v>
      </c>
      <c r="B21" s="23" t="s">
        <v>316</v>
      </c>
      <c r="C21" s="23" t="s">
        <v>284</v>
      </c>
      <c r="D21" s="23" t="s">
        <v>285</v>
      </c>
      <c r="E21" s="23" t="s">
        <v>210</v>
      </c>
      <c r="F21" s="23" t="s">
        <v>203</v>
      </c>
      <c r="G21" s="23" t="s">
        <v>212</v>
      </c>
      <c r="H21" s="23" t="s">
        <v>211</v>
      </c>
      <c r="I21" s="23" t="s">
        <v>256</v>
      </c>
      <c r="J21" s="23">
        <v>2.8</v>
      </c>
      <c r="K21" s="23">
        <v>40</v>
      </c>
      <c r="L21" s="23" t="s">
        <v>93</v>
      </c>
      <c r="M21" s="23" t="s">
        <v>70</v>
      </c>
      <c r="N21" s="23" t="s">
        <v>225</v>
      </c>
      <c r="O21" s="23" t="s">
        <v>93</v>
      </c>
      <c r="P21" s="23" t="s">
        <v>81</v>
      </c>
      <c r="Q21" s="23" t="s">
        <v>234</v>
      </c>
      <c r="R21" s="23" t="s">
        <v>68</v>
      </c>
    </row>
    <row r="22" spans="1:18" x14ac:dyDescent="0.25">
      <c r="A22" s="23" t="s">
        <v>317</v>
      </c>
      <c r="B22" s="23" t="s">
        <v>291</v>
      </c>
      <c r="C22" s="23" t="s">
        <v>284</v>
      </c>
      <c r="D22" s="23" t="s">
        <v>285</v>
      </c>
      <c r="E22" s="23" t="s">
        <v>200</v>
      </c>
      <c r="F22" s="23" t="s">
        <v>203</v>
      </c>
      <c r="G22" s="23" t="s">
        <v>202</v>
      </c>
      <c r="H22" s="23" t="s">
        <v>201</v>
      </c>
      <c r="I22" s="23" t="s">
        <v>204</v>
      </c>
      <c r="J22" s="23">
        <v>1.7</v>
      </c>
      <c r="K22" s="23">
        <v>27</v>
      </c>
      <c r="L22" s="23" t="s">
        <v>93</v>
      </c>
      <c r="M22" s="23" t="s">
        <v>70</v>
      </c>
      <c r="N22" s="23" t="s">
        <v>32</v>
      </c>
      <c r="O22" s="23" t="s">
        <v>94</v>
      </c>
      <c r="P22" s="23" t="s">
        <v>81</v>
      </c>
      <c r="Q22" s="23" t="s">
        <v>206</v>
      </c>
      <c r="R22" s="23" t="s">
        <v>296</v>
      </c>
    </row>
    <row r="23" spans="1:18" x14ac:dyDescent="0.25">
      <c r="A23" s="23" t="s">
        <v>318</v>
      </c>
      <c r="B23" s="23" t="s">
        <v>289</v>
      </c>
      <c r="C23" s="23" t="s">
        <v>284</v>
      </c>
      <c r="D23" s="23" t="s">
        <v>285</v>
      </c>
      <c r="E23" s="23" t="s">
        <v>200</v>
      </c>
      <c r="F23" s="23" t="s">
        <v>203</v>
      </c>
      <c r="G23" s="23" t="s">
        <v>212</v>
      </c>
      <c r="H23" s="23" t="s">
        <v>201</v>
      </c>
      <c r="I23" s="23" t="s">
        <v>204</v>
      </c>
      <c r="J23" s="23">
        <v>6.7</v>
      </c>
      <c r="K23" s="23">
        <v>63</v>
      </c>
      <c r="L23" s="23" t="s">
        <v>93</v>
      </c>
      <c r="M23" s="23" t="s">
        <v>69</v>
      </c>
      <c r="N23" s="23" t="s">
        <v>36</v>
      </c>
      <c r="O23" s="23" t="s">
        <v>93</v>
      </c>
      <c r="P23" s="23" t="s">
        <v>86</v>
      </c>
      <c r="Q23" s="23" t="s">
        <v>206</v>
      </c>
      <c r="R23" s="23" t="s">
        <v>296</v>
      </c>
    </row>
    <row r="24" spans="1:18" x14ac:dyDescent="0.25">
      <c r="A24" s="23" t="s">
        <v>319</v>
      </c>
      <c r="B24" s="23" t="s">
        <v>312</v>
      </c>
      <c r="C24" s="23" t="s">
        <v>284</v>
      </c>
      <c r="D24" s="23" t="s">
        <v>285</v>
      </c>
      <c r="E24" s="23" t="s">
        <v>200</v>
      </c>
      <c r="F24" s="23" t="s">
        <v>203</v>
      </c>
      <c r="G24" s="23" t="s">
        <v>202</v>
      </c>
      <c r="H24" s="23" t="s">
        <v>201</v>
      </c>
      <c r="I24" s="23" t="s">
        <v>204</v>
      </c>
      <c r="J24" s="23">
        <v>3.1</v>
      </c>
      <c r="K24" s="23">
        <v>44</v>
      </c>
      <c r="L24" s="23" t="s">
        <v>93</v>
      </c>
      <c r="M24" s="23" t="s">
        <v>69</v>
      </c>
      <c r="N24" s="23" t="s">
        <v>225</v>
      </c>
      <c r="O24" s="23" t="s">
        <v>94</v>
      </c>
      <c r="P24" s="23" t="s">
        <v>84</v>
      </c>
      <c r="Q24" s="23" t="s">
        <v>234</v>
      </c>
      <c r="R24" s="23" t="s">
        <v>68</v>
      </c>
    </row>
    <row r="25" spans="1:18" x14ac:dyDescent="0.25">
      <c r="A25" s="23" t="s">
        <v>320</v>
      </c>
      <c r="B25" s="23" t="s">
        <v>291</v>
      </c>
      <c r="C25" s="23" t="s">
        <v>284</v>
      </c>
      <c r="D25" s="23" t="s">
        <v>285</v>
      </c>
      <c r="E25" s="23" t="s">
        <v>210</v>
      </c>
      <c r="F25" s="23" t="s">
        <v>203</v>
      </c>
      <c r="G25" s="23" t="s">
        <v>212</v>
      </c>
      <c r="H25" s="23" t="s">
        <v>250</v>
      </c>
      <c r="I25" s="23" t="s">
        <v>204</v>
      </c>
      <c r="J25" s="23"/>
      <c r="K25" s="23">
        <v>26</v>
      </c>
      <c r="L25" s="23" t="s">
        <v>95</v>
      </c>
      <c r="M25" s="23" t="s">
        <v>75</v>
      </c>
      <c r="N25" s="23" t="s">
        <v>292</v>
      </c>
      <c r="O25" s="23" t="s">
        <v>93</v>
      </c>
      <c r="P25" s="23" t="s">
        <v>86</v>
      </c>
      <c r="Q25" s="23" t="s">
        <v>206</v>
      </c>
      <c r="R25" s="23" t="s">
        <v>68</v>
      </c>
    </row>
    <row r="26" spans="1:18" x14ac:dyDescent="0.25">
      <c r="A26" s="23" t="s">
        <v>321</v>
      </c>
      <c r="B26" s="23" t="s">
        <v>289</v>
      </c>
      <c r="C26" s="23" t="s">
        <v>284</v>
      </c>
      <c r="D26" s="23" t="s">
        <v>285</v>
      </c>
      <c r="E26" s="23" t="s">
        <v>210</v>
      </c>
      <c r="F26" s="23" t="s">
        <v>203</v>
      </c>
      <c r="G26" s="23" t="s">
        <v>202</v>
      </c>
      <c r="H26" s="23" t="s">
        <v>219</v>
      </c>
      <c r="I26" s="23" t="s">
        <v>204</v>
      </c>
      <c r="J26" s="23">
        <v>3.3</v>
      </c>
      <c r="K26" s="23">
        <v>44</v>
      </c>
      <c r="L26" s="23" t="s">
        <v>95</v>
      </c>
      <c r="M26" s="23" t="s">
        <v>75</v>
      </c>
      <c r="N26" s="23" t="s">
        <v>292</v>
      </c>
      <c r="O26" s="23" t="s">
        <v>93</v>
      </c>
      <c r="P26" s="23" t="s">
        <v>82</v>
      </c>
      <c r="Q26" s="23" t="s">
        <v>206</v>
      </c>
      <c r="R26" s="23" t="s">
        <v>296</v>
      </c>
    </row>
    <row r="27" spans="1:18" x14ac:dyDescent="0.25">
      <c r="A27" s="23" t="s">
        <v>322</v>
      </c>
      <c r="B27" s="23" t="s">
        <v>323</v>
      </c>
      <c r="C27" s="23" t="s">
        <v>284</v>
      </c>
      <c r="D27" s="23" t="s">
        <v>285</v>
      </c>
      <c r="E27" s="23" t="s">
        <v>200</v>
      </c>
      <c r="F27" s="23" t="s">
        <v>203</v>
      </c>
      <c r="G27" s="23" t="s">
        <v>202</v>
      </c>
      <c r="H27" s="23" t="s">
        <v>201</v>
      </c>
      <c r="I27" s="23" t="s">
        <v>220</v>
      </c>
      <c r="J27" s="23">
        <v>2.4</v>
      </c>
      <c r="K27" s="23">
        <v>28</v>
      </c>
      <c r="L27" s="23" t="s">
        <v>95</v>
      </c>
      <c r="M27" s="23" t="s">
        <v>75</v>
      </c>
      <c r="N27" s="23" t="s">
        <v>292</v>
      </c>
      <c r="O27" s="23" t="s">
        <v>94</v>
      </c>
      <c r="P27" s="23" t="s">
        <v>83</v>
      </c>
      <c r="Q27" s="23" t="s">
        <v>206</v>
      </c>
      <c r="R27" s="23" t="s">
        <v>296</v>
      </c>
    </row>
    <row r="28" spans="1:18" x14ac:dyDescent="0.25">
      <c r="A28" s="23" t="s">
        <v>324</v>
      </c>
      <c r="B28" s="23" t="s">
        <v>323</v>
      </c>
      <c r="C28" s="23" t="s">
        <v>284</v>
      </c>
      <c r="D28" s="23" t="s">
        <v>285</v>
      </c>
      <c r="E28" s="23" t="s">
        <v>210</v>
      </c>
      <c r="F28" s="23" t="s">
        <v>203</v>
      </c>
      <c r="G28" s="23" t="s">
        <v>202</v>
      </c>
      <c r="H28" s="23" t="s">
        <v>211</v>
      </c>
      <c r="I28" s="23" t="s">
        <v>256</v>
      </c>
      <c r="J28" s="23">
        <v>4.2</v>
      </c>
      <c r="K28" s="23">
        <v>44</v>
      </c>
      <c r="L28" s="23" t="s">
        <v>93</v>
      </c>
      <c r="M28" s="23" t="s">
        <v>68</v>
      </c>
      <c r="N28" s="23" t="s">
        <v>228</v>
      </c>
      <c r="O28" s="23" t="s">
        <v>94</v>
      </c>
      <c r="P28" s="23" t="s">
        <v>83</v>
      </c>
      <c r="Q28" s="23" t="s">
        <v>206</v>
      </c>
      <c r="R28" s="23" t="s">
        <v>68</v>
      </c>
    </row>
    <row r="29" spans="1:18" x14ac:dyDescent="0.25">
      <c r="A29" s="23" t="s">
        <v>325</v>
      </c>
      <c r="B29" s="23" t="s">
        <v>299</v>
      </c>
      <c r="C29" s="23" t="s">
        <v>284</v>
      </c>
      <c r="D29" s="23" t="s">
        <v>285</v>
      </c>
      <c r="E29" s="23" t="s">
        <v>210</v>
      </c>
      <c r="F29" s="23" t="s">
        <v>213</v>
      </c>
      <c r="G29" s="23" t="s">
        <v>202</v>
      </c>
      <c r="H29" s="23" t="s">
        <v>261</v>
      </c>
      <c r="I29" s="23" t="s">
        <v>254</v>
      </c>
      <c r="J29" s="23">
        <v>2.7</v>
      </c>
      <c r="K29" s="23">
        <v>29</v>
      </c>
      <c r="L29" s="23" t="s">
        <v>93</v>
      </c>
      <c r="M29" s="23" t="s">
        <v>68</v>
      </c>
      <c r="N29" s="23" t="s">
        <v>32</v>
      </c>
      <c r="O29" s="23" t="s">
        <v>95</v>
      </c>
      <c r="P29" s="23" t="s">
        <v>83</v>
      </c>
      <c r="Q29" s="23" t="s">
        <v>234</v>
      </c>
      <c r="R29" s="23" t="s">
        <v>296</v>
      </c>
    </row>
    <row r="30" spans="1:18" x14ac:dyDescent="0.25">
      <c r="A30" s="23" t="s">
        <v>326</v>
      </c>
      <c r="B30" s="23" t="s">
        <v>291</v>
      </c>
      <c r="C30" s="23" t="s">
        <v>284</v>
      </c>
      <c r="D30" s="23" t="s">
        <v>285</v>
      </c>
      <c r="E30" s="23" t="s">
        <v>200</v>
      </c>
      <c r="F30" s="23" t="s">
        <v>203</v>
      </c>
      <c r="G30" s="23" t="s">
        <v>212</v>
      </c>
      <c r="H30" s="23" t="s">
        <v>201</v>
      </c>
      <c r="I30" s="23" t="s">
        <v>204</v>
      </c>
      <c r="J30" s="23">
        <v>3.8</v>
      </c>
      <c r="K30" s="23">
        <v>48</v>
      </c>
      <c r="L30" s="23" t="s">
        <v>93</v>
      </c>
      <c r="M30" s="23" t="s">
        <v>68</v>
      </c>
      <c r="N30" s="23" t="s">
        <v>38</v>
      </c>
      <c r="O30" s="23" t="s">
        <v>93</v>
      </c>
      <c r="P30" s="23" t="s">
        <v>86</v>
      </c>
      <c r="Q30" s="23" t="s">
        <v>206</v>
      </c>
      <c r="R30" s="23" t="s">
        <v>68</v>
      </c>
    </row>
    <row r="31" spans="1:18" x14ac:dyDescent="0.25">
      <c r="A31" s="23" t="s">
        <v>327</v>
      </c>
      <c r="B31" s="23" t="s">
        <v>323</v>
      </c>
      <c r="C31" s="23" t="s">
        <v>284</v>
      </c>
      <c r="D31" s="23" t="s">
        <v>285</v>
      </c>
      <c r="E31" s="23" t="s">
        <v>210</v>
      </c>
      <c r="F31" s="23" t="s">
        <v>213</v>
      </c>
      <c r="G31" s="23" t="s">
        <v>202</v>
      </c>
      <c r="H31" s="23" t="s">
        <v>308</v>
      </c>
      <c r="I31" s="23" t="s">
        <v>254</v>
      </c>
      <c r="J31" s="23">
        <v>3.1</v>
      </c>
      <c r="K31" s="23">
        <v>45</v>
      </c>
      <c r="L31" s="23" t="s">
        <v>93</v>
      </c>
      <c r="M31" s="23" t="s">
        <v>69</v>
      </c>
      <c r="N31" s="23" t="s">
        <v>36</v>
      </c>
      <c r="O31" s="23" t="s">
        <v>94</v>
      </c>
      <c r="P31" s="23" t="s">
        <v>87</v>
      </c>
      <c r="Q31" s="23" t="s">
        <v>206</v>
      </c>
      <c r="R31" s="23" t="s">
        <v>68</v>
      </c>
    </row>
    <row r="32" spans="1:18" x14ac:dyDescent="0.25">
      <c r="A32" s="23" t="s">
        <v>328</v>
      </c>
      <c r="B32" s="23" t="s">
        <v>289</v>
      </c>
      <c r="C32" s="23" t="s">
        <v>284</v>
      </c>
      <c r="D32" s="23" t="s">
        <v>285</v>
      </c>
      <c r="E32" s="23" t="s">
        <v>210</v>
      </c>
      <c r="F32" s="23" t="s">
        <v>203</v>
      </c>
      <c r="G32" s="23" t="s">
        <v>202</v>
      </c>
      <c r="H32" s="23" t="s">
        <v>219</v>
      </c>
      <c r="I32" s="23" t="s">
        <v>220</v>
      </c>
      <c r="J32" s="23">
        <v>1.9</v>
      </c>
      <c r="K32" s="23">
        <v>30</v>
      </c>
      <c r="L32" s="23" t="s">
        <v>93</v>
      </c>
      <c r="M32" s="23" t="s">
        <v>69</v>
      </c>
      <c r="N32" s="23" t="s">
        <v>39</v>
      </c>
      <c r="O32" s="23" t="s">
        <v>94</v>
      </c>
      <c r="P32" s="23" t="s">
        <v>87</v>
      </c>
      <c r="Q32" s="23" t="s">
        <v>215</v>
      </c>
      <c r="R32" s="23" t="s">
        <v>68</v>
      </c>
    </row>
    <row r="33" spans="1:18" x14ac:dyDescent="0.25">
      <c r="A33" s="23" t="s">
        <v>329</v>
      </c>
      <c r="B33" s="23" t="s">
        <v>299</v>
      </c>
      <c r="C33" s="23" t="s">
        <v>284</v>
      </c>
      <c r="D33" s="23" t="s">
        <v>285</v>
      </c>
      <c r="E33" s="23" t="s">
        <v>210</v>
      </c>
      <c r="F33" s="23" t="s">
        <v>203</v>
      </c>
      <c r="G33" s="23" t="s">
        <v>202</v>
      </c>
      <c r="H33" s="23" t="s">
        <v>211</v>
      </c>
      <c r="I33" s="23" t="s">
        <v>256</v>
      </c>
      <c r="J33" s="23">
        <v>4.9000000000000004</v>
      </c>
      <c r="K33" s="23">
        <v>58</v>
      </c>
      <c r="L33" s="23" t="s">
        <v>95</v>
      </c>
      <c r="M33" s="23" t="s">
        <v>75</v>
      </c>
      <c r="N33" s="23" t="s">
        <v>292</v>
      </c>
      <c r="O33" s="23" t="s">
        <v>94</v>
      </c>
      <c r="P33" s="23" t="s">
        <v>81</v>
      </c>
      <c r="Q33" s="23" t="s">
        <v>206</v>
      </c>
      <c r="R33" s="23" t="s">
        <v>296</v>
      </c>
    </row>
    <row r="34" spans="1:18" x14ac:dyDescent="0.25">
      <c r="A34" s="23" t="s">
        <v>330</v>
      </c>
      <c r="B34" s="23" t="s">
        <v>295</v>
      </c>
      <c r="C34" s="23" t="s">
        <v>284</v>
      </c>
      <c r="D34" s="23" t="s">
        <v>285</v>
      </c>
      <c r="E34" s="23" t="s">
        <v>200</v>
      </c>
      <c r="F34" s="23" t="s">
        <v>203</v>
      </c>
      <c r="G34" s="23" t="s">
        <v>212</v>
      </c>
      <c r="H34" s="23" t="s">
        <v>201</v>
      </c>
      <c r="I34" s="23" t="s">
        <v>220</v>
      </c>
      <c r="J34" s="23">
        <v>6.7</v>
      </c>
      <c r="K34" s="23">
        <v>65</v>
      </c>
      <c r="L34" s="23" t="s">
        <v>93</v>
      </c>
      <c r="M34" s="23" t="s">
        <v>68</v>
      </c>
      <c r="N34" s="23" t="s">
        <v>36</v>
      </c>
      <c r="O34" s="23" t="s">
        <v>94</v>
      </c>
      <c r="P34" s="23" t="s">
        <v>84</v>
      </c>
      <c r="Q34" s="23" t="s">
        <v>206</v>
      </c>
      <c r="R34" s="23" t="s">
        <v>296</v>
      </c>
    </row>
    <row r="35" spans="1:18" x14ac:dyDescent="0.25">
      <c r="A35" s="23" t="s">
        <v>331</v>
      </c>
      <c r="B35" s="23" t="s">
        <v>289</v>
      </c>
      <c r="C35" s="23" t="s">
        <v>284</v>
      </c>
      <c r="D35" s="23" t="s">
        <v>285</v>
      </c>
      <c r="E35" s="23" t="s">
        <v>210</v>
      </c>
      <c r="F35" s="23" t="s">
        <v>203</v>
      </c>
      <c r="G35" s="23" t="s">
        <v>212</v>
      </c>
      <c r="H35" s="23" t="s">
        <v>219</v>
      </c>
      <c r="I35" s="23" t="s">
        <v>220</v>
      </c>
      <c r="J35" s="23">
        <v>6.7</v>
      </c>
      <c r="K35" s="23">
        <v>70</v>
      </c>
      <c r="L35" s="23" t="s">
        <v>95</v>
      </c>
      <c r="M35" s="23" t="s">
        <v>75</v>
      </c>
      <c r="N35" s="23" t="s">
        <v>292</v>
      </c>
      <c r="O35" s="23" t="s">
        <v>95</v>
      </c>
      <c r="P35" s="23" t="s">
        <v>84</v>
      </c>
      <c r="Q35" s="23" t="s">
        <v>215</v>
      </c>
      <c r="R35" s="23" t="s">
        <v>296</v>
      </c>
    </row>
    <row r="36" spans="1:18" x14ac:dyDescent="0.25">
      <c r="A36" s="23" t="s">
        <v>332</v>
      </c>
      <c r="B36" s="23" t="s">
        <v>299</v>
      </c>
      <c r="C36" s="23" t="s">
        <v>284</v>
      </c>
      <c r="D36" s="23" t="s">
        <v>285</v>
      </c>
      <c r="E36" s="23" t="s">
        <v>200</v>
      </c>
      <c r="F36" s="23" t="s">
        <v>203</v>
      </c>
      <c r="G36" s="23" t="s">
        <v>202</v>
      </c>
      <c r="H36" s="23" t="s">
        <v>219</v>
      </c>
      <c r="I36" s="23" t="s">
        <v>204</v>
      </c>
      <c r="J36" s="23">
        <v>2.2999999999999998</v>
      </c>
      <c r="K36" s="23">
        <v>25</v>
      </c>
      <c r="L36" s="23" t="s">
        <v>93</v>
      </c>
      <c r="M36" s="23" t="s">
        <v>68</v>
      </c>
      <c r="N36" s="23" t="s">
        <v>38</v>
      </c>
      <c r="O36" s="23" t="s">
        <v>93</v>
      </c>
      <c r="P36" s="23" t="s">
        <v>82</v>
      </c>
      <c r="Q36" s="23" t="s">
        <v>206</v>
      </c>
      <c r="R36" s="23" t="s">
        <v>296</v>
      </c>
    </row>
    <row r="37" spans="1:18" x14ac:dyDescent="0.25">
      <c r="A37" s="23" t="s">
        <v>333</v>
      </c>
      <c r="B37" s="23" t="s">
        <v>291</v>
      </c>
      <c r="C37" s="23" t="s">
        <v>284</v>
      </c>
      <c r="D37" s="23" t="s">
        <v>285</v>
      </c>
      <c r="E37" s="23" t="s">
        <v>210</v>
      </c>
      <c r="F37" s="23" t="s">
        <v>203</v>
      </c>
      <c r="G37" s="23" t="s">
        <v>212</v>
      </c>
      <c r="H37" s="23" t="s">
        <v>219</v>
      </c>
      <c r="I37" s="23" t="s">
        <v>204</v>
      </c>
      <c r="J37" s="23">
        <v>5.3</v>
      </c>
      <c r="K37" s="23">
        <v>53</v>
      </c>
      <c r="L37" s="23" t="s">
        <v>95</v>
      </c>
      <c r="M37" s="23" t="s">
        <v>75</v>
      </c>
      <c r="N37" s="23" t="s">
        <v>292</v>
      </c>
      <c r="O37" s="23" t="s">
        <v>93</v>
      </c>
      <c r="P37" s="23" t="s">
        <v>87</v>
      </c>
      <c r="Q37" s="23" t="s">
        <v>206</v>
      </c>
      <c r="R37" s="23" t="s">
        <v>68</v>
      </c>
    </row>
    <row r="38" spans="1:18" x14ac:dyDescent="0.25">
      <c r="A38" s="23" t="s">
        <v>334</v>
      </c>
      <c r="B38" s="23" t="s">
        <v>312</v>
      </c>
      <c r="C38" s="23" t="s">
        <v>284</v>
      </c>
      <c r="D38" s="23" t="s">
        <v>285</v>
      </c>
      <c r="E38" s="23" t="s">
        <v>200</v>
      </c>
      <c r="F38" s="23" t="s">
        <v>203</v>
      </c>
      <c r="G38" s="23" t="s">
        <v>202</v>
      </c>
      <c r="H38" s="23" t="s">
        <v>201</v>
      </c>
      <c r="I38" s="23" t="s">
        <v>204</v>
      </c>
      <c r="J38" s="23">
        <v>7.7</v>
      </c>
      <c r="K38" s="23">
        <v>82</v>
      </c>
      <c r="L38" s="23" t="s">
        <v>93</v>
      </c>
      <c r="M38" s="23" t="s">
        <v>68</v>
      </c>
      <c r="N38" s="23" t="s">
        <v>39</v>
      </c>
      <c r="O38" s="23" t="s">
        <v>94</v>
      </c>
      <c r="P38" s="23" t="s">
        <v>83</v>
      </c>
      <c r="Q38" s="23" t="s">
        <v>206</v>
      </c>
      <c r="R38" s="23" t="s">
        <v>296</v>
      </c>
    </row>
    <row r="39" spans="1:18" x14ac:dyDescent="0.25">
      <c r="A39" s="23" t="s">
        <v>335</v>
      </c>
      <c r="B39" s="23" t="s">
        <v>287</v>
      </c>
      <c r="C39" s="23" t="s">
        <v>284</v>
      </c>
      <c r="D39" s="23" t="s">
        <v>285</v>
      </c>
      <c r="E39" s="23" t="s">
        <v>200</v>
      </c>
      <c r="F39" s="23" t="s">
        <v>203</v>
      </c>
      <c r="G39" s="23" t="s">
        <v>202</v>
      </c>
      <c r="H39" s="23" t="s">
        <v>219</v>
      </c>
      <c r="I39" s="23" t="s">
        <v>220</v>
      </c>
      <c r="J39" s="23">
        <v>5.0999999999999996</v>
      </c>
      <c r="K39" s="23">
        <v>54</v>
      </c>
      <c r="L39" s="23" t="s">
        <v>93</v>
      </c>
      <c r="M39" s="23" t="s">
        <v>69</v>
      </c>
      <c r="N39" s="23" t="s">
        <v>244</v>
      </c>
      <c r="O39" s="23" t="s">
        <v>93</v>
      </c>
      <c r="P39" s="23" t="s">
        <v>81</v>
      </c>
      <c r="Q39" s="23" t="s">
        <v>215</v>
      </c>
      <c r="R39" s="23" t="s">
        <v>296</v>
      </c>
    </row>
    <row r="40" spans="1:18" x14ac:dyDescent="0.25">
      <c r="A40" s="23" t="s">
        <v>336</v>
      </c>
      <c r="B40" s="23" t="s">
        <v>295</v>
      </c>
      <c r="C40" s="23" t="s">
        <v>284</v>
      </c>
      <c r="D40" s="23" t="s">
        <v>285</v>
      </c>
      <c r="E40" s="23" t="s">
        <v>210</v>
      </c>
      <c r="F40" s="23" t="s">
        <v>203</v>
      </c>
      <c r="G40" s="23" t="s">
        <v>212</v>
      </c>
      <c r="H40" s="23" t="s">
        <v>250</v>
      </c>
      <c r="I40" s="23" t="s">
        <v>204</v>
      </c>
      <c r="J40" s="23">
        <v>4.5999999999999996</v>
      </c>
      <c r="K40" s="23">
        <v>57</v>
      </c>
      <c r="L40" s="23" t="s">
        <v>93</v>
      </c>
      <c r="M40" s="23" t="s">
        <v>72</v>
      </c>
      <c r="N40" s="23" t="s">
        <v>228</v>
      </c>
      <c r="O40" s="23" t="s">
        <v>93</v>
      </c>
      <c r="P40" s="23" t="s">
        <v>84</v>
      </c>
      <c r="Q40" s="23" t="s">
        <v>215</v>
      </c>
      <c r="R40" s="23" t="s">
        <v>296</v>
      </c>
    </row>
    <row r="41" spans="1:18" x14ac:dyDescent="0.25">
      <c r="A41" s="23" t="s">
        <v>337</v>
      </c>
      <c r="B41" s="23" t="s">
        <v>283</v>
      </c>
      <c r="C41" s="23" t="s">
        <v>284</v>
      </c>
      <c r="D41" s="23" t="s">
        <v>285</v>
      </c>
      <c r="E41" s="23" t="s">
        <v>210</v>
      </c>
      <c r="F41" s="23" t="s">
        <v>213</v>
      </c>
      <c r="G41" s="23" t="s">
        <v>202</v>
      </c>
      <c r="H41" s="23" t="s">
        <v>338</v>
      </c>
      <c r="I41" s="23" t="s">
        <v>254</v>
      </c>
      <c r="J41" s="23">
        <v>1.3</v>
      </c>
      <c r="K41" s="23">
        <v>26</v>
      </c>
      <c r="L41" s="23" t="s">
        <v>93</v>
      </c>
      <c r="M41" s="23" t="s">
        <v>68</v>
      </c>
      <c r="N41" s="23" t="s">
        <v>244</v>
      </c>
      <c r="O41" s="23" t="s">
        <v>95</v>
      </c>
      <c r="P41" s="23" t="s">
        <v>87</v>
      </c>
      <c r="Q41" s="23" t="s">
        <v>234</v>
      </c>
      <c r="R41" s="23" t="s">
        <v>296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zoomScaleNormal="100" workbookViewId="0">
      <pane ySplit="1" topLeftCell="A2" activePane="bottomLeft" state="frozen"/>
      <selection pane="bottomLeft" activeCell="F13" sqref="F13"/>
    </sheetView>
  </sheetViews>
  <sheetFormatPr defaultColWidth="8.7109375" defaultRowHeight="15" x14ac:dyDescent="0.25"/>
  <cols>
    <col min="1" max="1" width="14" customWidth="1"/>
    <col min="2" max="2" width="17" customWidth="1"/>
    <col min="3" max="4" width="14" customWidth="1"/>
    <col min="5" max="5" width="32" customWidth="1"/>
    <col min="6" max="6" width="30" customWidth="1"/>
    <col min="7" max="7" width="24" customWidth="1"/>
    <col min="8" max="8" width="32" customWidth="1"/>
  </cols>
  <sheetData>
    <row r="1" spans="1:8" ht="25.5" x14ac:dyDescent="0.25">
      <c r="A1" s="22" t="s">
        <v>339</v>
      </c>
      <c r="B1" s="22" t="s">
        <v>180</v>
      </c>
      <c r="C1" s="22" t="s">
        <v>181</v>
      </c>
      <c r="D1" s="22" t="s">
        <v>340</v>
      </c>
      <c r="E1" s="22" t="s">
        <v>341</v>
      </c>
      <c r="F1" s="22" t="s">
        <v>342</v>
      </c>
      <c r="G1" s="22" t="s">
        <v>343</v>
      </c>
      <c r="H1" s="22" t="s">
        <v>344</v>
      </c>
    </row>
    <row r="2" spans="1:8" x14ac:dyDescent="0.25">
      <c r="A2" s="23" t="s">
        <v>345</v>
      </c>
      <c r="B2" s="23" t="s">
        <v>236</v>
      </c>
      <c r="C2" s="23" t="s">
        <v>200</v>
      </c>
      <c r="D2" s="23" t="s">
        <v>346</v>
      </c>
      <c r="E2" s="23">
        <v>3</v>
      </c>
      <c r="F2" s="23" t="s">
        <v>347</v>
      </c>
      <c r="G2" s="23" t="s">
        <v>348</v>
      </c>
      <c r="H2" s="23" t="s">
        <v>95</v>
      </c>
    </row>
    <row r="3" spans="1:8" x14ac:dyDescent="0.25">
      <c r="A3" s="23" t="s">
        <v>349</v>
      </c>
      <c r="B3" s="23" t="s">
        <v>236</v>
      </c>
      <c r="C3" s="23" t="s">
        <v>200</v>
      </c>
      <c r="D3" s="23" t="s">
        <v>350</v>
      </c>
      <c r="E3" s="23">
        <v>2</v>
      </c>
      <c r="F3" s="23" t="s">
        <v>351</v>
      </c>
      <c r="G3" s="23" t="s">
        <v>352</v>
      </c>
      <c r="H3" s="23" t="s">
        <v>95</v>
      </c>
    </row>
    <row r="4" spans="1:8" x14ac:dyDescent="0.25">
      <c r="A4" s="23" t="s">
        <v>353</v>
      </c>
      <c r="B4" s="23" t="s">
        <v>236</v>
      </c>
      <c r="C4" s="23" t="s">
        <v>200</v>
      </c>
      <c r="D4" s="23" t="s">
        <v>68</v>
      </c>
      <c r="E4" s="23">
        <v>1</v>
      </c>
      <c r="F4" s="23" t="s">
        <v>351</v>
      </c>
      <c r="G4" s="23" t="s">
        <v>348</v>
      </c>
      <c r="H4" s="23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Notes</vt:lpstr>
      <vt:lpstr>Attendees</vt:lpstr>
      <vt:lpstr>NonAttendees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Sharon Imaledo</cp:lastModifiedBy>
  <cp:revision>0</cp:revision>
  <dcterms:created xsi:type="dcterms:W3CDTF">2026-10-16T03:39:34Z</dcterms:created>
  <dcterms:modified xsi:type="dcterms:W3CDTF">2026-10-20T15:06:44Z</dcterms:modified>
  <dc:language>en-US</dc:language>
</cp:coreProperties>
</file>