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61B4942-4F70-4CFA-81A3-A5192B4AF30C}" xr6:coauthVersionLast="47" xr6:coauthVersionMax="47" xr10:uidLastSave="{00000000-0000-0000-0000-000000000000}"/>
  <bookViews>
    <workbookView xWindow="-120" yWindow="-120" windowWidth="20730" windowHeight="11160" activeTab="1" xr2:uid="{7D69837A-F8AE-45ED-8F79-40BD86AE7680}"/>
  </bookViews>
  <sheets>
    <sheet name="Dataset" sheetId="1" r:id="rId1"/>
    <sheet name="Pivot Tables" sheetId="3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4" i="3" l="1"/>
</calcChain>
</file>

<file path=xl/sharedStrings.xml><?xml version="1.0" encoding="utf-8"?>
<sst xmlns="http://schemas.openxmlformats.org/spreadsheetml/2006/main" count="819" uniqueCount="141">
  <si>
    <t>Beneficiary_ID</t>
  </si>
  <si>
    <t>Outreach_Date</t>
  </si>
  <si>
    <t>State</t>
  </si>
  <si>
    <t>LGA</t>
  </si>
  <si>
    <t>Community</t>
  </si>
  <si>
    <t>Age_Group</t>
  </si>
  <si>
    <t>Sex</t>
  </si>
  <si>
    <t>Respondent_Type</t>
  </si>
  <si>
    <t>Service_Received</t>
  </si>
  <si>
    <t>First_Time_Receiving_Service</t>
  </si>
  <si>
    <t>Previous_Access_to_Service</t>
  </si>
  <si>
    <t>How_Heard_About_Outreach</t>
  </si>
  <si>
    <t>Distance_to_Outreach_Km</t>
  </si>
  <si>
    <t>Travel_Time_Minutes</t>
  </si>
  <si>
    <t>Main_Barrier_Before_Attending</t>
  </si>
  <si>
    <t>Preferred_Communication_Language</t>
  </si>
  <si>
    <t>Translator_Used</t>
  </si>
  <si>
    <t>Waiting_Time_Minutes</t>
  </si>
  <si>
    <t>Satisfaction_Score_1_to_5</t>
  </si>
  <si>
    <t>Overall_Experience</t>
  </si>
  <si>
    <t>Would_Use_Service_Again</t>
  </si>
  <si>
    <t>What_Would_Improve_Next_Outreach</t>
  </si>
  <si>
    <t>BEN-2026015</t>
  </si>
  <si>
    <t>Katsina</t>
  </si>
  <si>
    <t>Daura</t>
  </si>
  <si>
    <t>Kusugu</t>
  </si>
  <si>
    <t>Under 1</t>
  </si>
  <si>
    <t>Female</t>
  </si>
  <si>
    <t>Parent/Guardian/Caregiver</t>
  </si>
  <si>
    <t>Catch-up Immunization</t>
  </si>
  <si>
    <t>No</t>
  </si>
  <si>
    <t>Health Center/Hospital</t>
  </si>
  <si>
    <t>Family/friend</t>
  </si>
  <si>
    <t>Previous bad service experience</t>
  </si>
  <si>
    <t>Hausa</t>
  </si>
  <si>
    <t>Neutral</t>
  </si>
  <si>
    <t>Maybe</t>
  </si>
  <si>
    <t>More outreach days</t>
  </si>
  <si>
    <t>BEN-2026022</t>
  </si>
  <si>
    <t>Sarkin Yara</t>
  </si>
  <si>
    <t>10–17</t>
  </si>
  <si>
    <t>Male</t>
  </si>
  <si>
    <t>Self</t>
  </si>
  <si>
    <t>Yes</t>
  </si>
  <si>
    <t>Never</t>
  </si>
  <si>
    <t>CHW</t>
  </si>
  <si>
    <t>No major barrier</t>
  </si>
  <si>
    <t>Pidgin</t>
  </si>
  <si>
    <t>Negative</t>
  </si>
  <si>
    <t>Shorter waiting time</t>
  </si>
  <si>
    <t>BEN-2026036</t>
  </si>
  <si>
    <t>1–4</t>
  </si>
  <si>
    <t>Routine Immunization</t>
  </si>
  <si>
    <t>Previous Outreach</t>
  </si>
  <si>
    <t>Health facility</t>
  </si>
  <si>
    <t>Lack of information</t>
  </si>
  <si>
    <t>BEN-2026039</t>
  </si>
  <si>
    <t>Work/household responsibilities</t>
  </si>
  <si>
    <t>BEN-2026046</t>
  </si>
  <si>
    <t>Distance/transport cost</t>
  </si>
  <si>
    <t>Positive</t>
  </si>
  <si>
    <t>More info before outreach</t>
  </si>
  <si>
    <t>BEN-2026050</t>
  </si>
  <si>
    <t>Closer service point</t>
  </si>
  <si>
    <t>BEN-2026061</t>
  </si>
  <si>
    <t>Community leader</t>
  </si>
  <si>
    <t>English</t>
  </si>
  <si>
    <t>BEN-2026084</t>
  </si>
  <si>
    <t>Very positive</t>
  </si>
  <si>
    <t>BEN-2026089</t>
  </si>
  <si>
    <t>Private Clinic</t>
  </si>
  <si>
    <t>BEN-2026107</t>
  </si>
  <si>
    <t>BEN-2026161</t>
  </si>
  <si>
    <t>Social media</t>
  </si>
  <si>
    <t>BEN-2026197</t>
  </si>
  <si>
    <t>Language/communication</t>
  </si>
  <si>
    <t>BEN-2026198</t>
  </si>
  <si>
    <t>Cost of other related services</t>
  </si>
  <si>
    <t>No additional support</t>
  </si>
  <si>
    <t>BEN-2026250</t>
  </si>
  <si>
    <t>Religious/community group</t>
  </si>
  <si>
    <t>BEN-2026255</t>
  </si>
  <si>
    <t>Radio</t>
  </si>
  <si>
    <t>BEN-2026274</t>
  </si>
  <si>
    <t>5–9</t>
  </si>
  <si>
    <t>BEN-2026310</t>
  </si>
  <si>
    <t>45+</t>
  </si>
  <si>
    <t>COVID-19 Vaccination</t>
  </si>
  <si>
    <t>BEN-2026315</t>
  </si>
  <si>
    <t>HPV Vaccination</t>
  </si>
  <si>
    <t>BEN-2026316</t>
  </si>
  <si>
    <t>BEN-2026318</t>
  </si>
  <si>
    <t>BEN-2026321</t>
  </si>
  <si>
    <t>BEN-2026342</t>
  </si>
  <si>
    <t>25–34</t>
  </si>
  <si>
    <t>BEN-2026363</t>
  </si>
  <si>
    <t>BEN-2026412</t>
  </si>
  <si>
    <t>BEN-2026446</t>
  </si>
  <si>
    <t>BEN-2026458</t>
  </si>
  <si>
    <t>BEN-2026471</t>
  </si>
  <si>
    <t>BEN-2026476</t>
  </si>
  <si>
    <t>BEN-2026487</t>
  </si>
  <si>
    <t>BEN-2026493</t>
  </si>
  <si>
    <t>Number of Attendees</t>
  </si>
  <si>
    <t>Grand Total</t>
  </si>
  <si>
    <t>Age Group</t>
  </si>
  <si>
    <t>Gender</t>
  </si>
  <si>
    <t>Respondent Type</t>
  </si>
  <si>
    <t>Service Received</t>
  </si>
  <si>
    <t>First Time</t>
  </si>
  <si>
    <t>Previous Access</t>
  </si>
  <si>
    <t>Percentage</t>
  </si>
  <si>
    <t>How they heard about outreach</t>
  </si>
  <si>
    <t>Barrier Before Attending</t>
  </si>
  <si>
    <t>(blank)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</si>
  <si>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</si>
  <si>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</si>
  <si>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</si>
  <si>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</si>
  <si>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</si>
  <si>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</si>
  <si>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</si>
  <si>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</si>
  <si>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</si>
  <si>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</si>
  <si>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</si>
  <si>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</si>
  <si>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</si>
  <si>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Over 60 minutes</t>
  </si>
  <si>
    <t>17-31</t>
  </si>
  <si>
    <t>32-46</t>
  </si>
  <si>
    <t>47-61</t>
  </si>
  <si>
    <t>62-76</t>
  </si>
  <si>
    <t>77-91</t>
  </si>
  <si>
    <t>92-106</t>
  </si>
  <si>
    <t>Average of Satisfaction_Score_1_to_5</t>
  </si>
  <si>
    <t>Waiting Time Minutes</t>
  </si>
  <si>
    <t>Number of Beneficiaries</t>
  </si>
  <si>
    <t>Overall Experience</t>
  </si>
  <si>
    <t>What to improve</t>
  </si>
  <si>
    <t>Preferred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</si>
</sst>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164" fontId="0" fillId="0" borderId="3" xfId="0" applyNumberFormat="1" applyBorder="1"/>
    <xf numFmtId="0" fontId="0" fillId="0" borderId="3" xfId="0" applyBorder="1"/>
    <xf numFmtId="165" fontId="0" fillId="0" borderId="3" xfId="0" applyNumberFormat="1" applyBorder="1"/>
    <xf numFmtId="3" fontId="0" fillId="0" borderId="3" xfId="0" applyNumberFormat="1" applyBorder="1"/>
    <xf numFmtId="1" fontId="0" fillId="0" borderId="3" xfId="0" applyNumberFormat="1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0" fontId="0" fillId="0" borderId="6" xfId="0" applyBorder="1"/>
    <xf numFmtId="165" fontId="0" fillId="0" borderId="6" xfId="0" applyNumberFormat="1" applyBorder="1"/>
    <xf numFmtId="3" fontId="0" fillId="0" borderId="6" xfId="0" applyNumberFormat="1" applyBorder="1"/>
    <xf numFmtId="1" fontId="0" fillId="0" borderId="6" xfId="0" applyNumberFormat="1" applyBorder="1"/>
    <xf numFmtId="0" fontId="0" fillId="0" borderId="7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0" fontId="0" fillId="0" borderId="0" xfId="0" applyNumberFormat="1"/>
    <xf numFmtId="0" fontId="0" fillId="0" borderId="8" xfId="0" applyBorder="1"/>
    <xf numFmtId="0" fontId="2" fillId="0" borderId="9" xfId="0" applyFont="1" applyBorder="1" applyAlignment="1">
      <alignment horizontal="centerContinuous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9.429460995372" createdVersion="8" refreshedVersion="8" minRefreshableVersion="3" recordCount="30" xr:uid="{29B73F75-99BE-46DF-8274-F199688B9029}">
  <cacheSource type="worksheet">
    <worksheetSource ref="A1:V31" sheet="Dataset"/>
  </cacheSource>
  <cacheFields count="22">
    <cacheField name="Beneficiary_ID" numFmtId="0">
      <sharedItems/>
    </cacheField>
    <cacheField name="Outreach_Date" numFmtId="164">
      <sharedItems containsSemiMixedTypes="0" containsNonDate="0" containsDate="1" containsString="0" minDate="2026-05-04T00:00:00" maxDate="2026-05-28T00:00:00"/>
    </cacheField>
    <cacheField name="State" numFmtId="0">
      <sharedItems/>
    </cacheField>
    <cacheField name="LGA" numFmtId="0">
      <sharedItems/>
    </cacheField>
    <cacheField name="Community" numFmtId="0">
      <sharedItems count="2">
        <s v="Kusugu"/>
        <s v="Sarkin Yara"/>
      </sharedItems>
    </cacheField>
    <cacheField name="Age_Group" numFmtId="0">
      <sharedItems count="6">
        <s v="Under 1"/>
        <s v="10–17"/>
        <s v="1–4"/>
        <s v="5–9"/>
        <s v="45+"/>
        <s v="25–34"/>
      </sharedItems>
    </cacheField>
    <cacheField name="Sex" numFmtId="0">
      <sharedItems count="2">
        <s v="Female"/>
        <s v="Male"/>
      </sharedItems>
    </cacheField>
    <cacheField name="Respondent_Type" numFmtId="0">
      <sharedItems count="2">
        <s v="Parent/Guardian/Caregiver"/>
        <s v="Self"/>
      </sharedItems>
    </cacheField>
    <cacheField name="Service_Received" numFmtId="0">
      <sharedItems count="4">
        <s v="Catch-up Immunization"/>
        <s v="Routine Immunization"/>
        <s v="COVID-19 Vaccination"/>
        <s v="HPV Vaccination"/>
      </sharedItems>
    </cacheField>
    <cacheField name="First_Time_Receiving_Service" numFmtId="0">
      <sharedItems count="2">
        <s v="No"/>
        <s v="Yes"/>
      </sharedItems>
    </cacheField>
    <cacheField name="Previous_Access_to_Service" numFmtId="0">
      <sharedItems count="4">
        <s v="Health Center/Hospital"/>
        <s v="Never"/>
        <s v="Previous Outreach"/>
        <s v="Private Clinic"/>
      </sharedItems>
    </cacheField>
    <cacheField name="How_Heard_About_Outreach" numFmtId="0">
      <sharedItems count="7">
        <s v="Family/friend"/>
        <s v="CHW"/>
        <s v="Health facility"/>
        <s v="Community leader"/>
        <s v="Social media"/>
        <s v="Religious/community group"/>
        <s v="Radio"/>
      </sharedItems>
    </cacheField>
    <cacheField name="Distance_to_Outreach_Km" numFmtId="0">
      <sharedItems containsString="0" containsBlank="1" containsNumber="1" minValue="0.8" maxValue="8.1999999999999993" count="23">
        <n v="4.2"/>
        <n v="1.7"/>
        <n v="8.1999999999999993"/>
        <n v="3"/>
        <n v="5.9"/>
        <n v="7.4"/>
        <n v="2"/>
        <m/>
        <n v="1.3"/>
        <n v="1.1000000000000001"/>
        <n v="2.5"/>
        <n v="2.2999999999999998"/>
        <n v="2.2000000000000002"/>
        <n v="0.9"/>
        <n v="2.6"/>
        <n v="0.8"/>
        <n v="3.4"/>
        <n v="3.7"/>
        <n v="2.4"/>
        <n v="1.6"/>
        <n v="1"/>
        <n v="4.3"/>
        <n v="2.1"/>
      </sharedItems>
    </cacheField>
    <cacheField name="Travel_Time_Minutes" numFmtId="3">
      <sharedItems containsSemiMixedTypes="0" containsString="0" containsNumber="1" containsInteger="1" minValue="17" maxValue="295"/>
    </cacheField>
    <cacheField name="Main_Barrier_Before_Attending" numFmtId="0">
      <sharedItems count="7">
        <s v="Previous bad service experience"/>
        <s v="No major barrier"/>
        <s v="Lack of information"/>
        <s v="Work/household responsibilities"/>
        <s v="Distance/transport cost"/>
        <s v="Language/communication"/>
        <s v="Cost of other related services"/>
      </sharedItems>
    </cacheField>
    <cacheField name="Preferred_Communication_Language" numFmtId="0">
      <sharedItems containsBlank="1" count="4">
        <s v="Hausa"/>
        <s v="Pidgin"/>
        <s v="English"/>
        <m/>
      </sharedItems>
    </cacheField>
    <cacheField name="Translator_Used" numFmtId="0">
      <sharedItems count="2">
        <s v="No"/>
        <s v="Yes"/>
      </sharedItems>
    </cacheField>
    <cacheField name="Waiting_Time_Minutes" numFmtId="0">
      <sharedItems containsString="0" containsBlank="1" containsNumber="1" containsInteger="1" minValue="17" maxValue="99" count="25">
        <n v="51"/>
        <n v="58"/>
        <n v="53"/>
        <n v="79"/>
        <m/>
        <n v="73"/>
        <n v="21"/>
        <n v="99"/>
        <n v="39"/>
        <n v="60"/>
        <n v="48"/>
        <n v="40"/>
        <n v="23"/>
        <n v="17"/>
        <n v="29"/>
        <n v="76"/>
        <n v="19"/>
        <n v="43"/>
        <n v="36"/>
        <n v="28"/>
        <n v="24"/>
        <n v="54"/>
        <n v="75"/>
        <n v="41"/>
        <n v="42"/>
      </sharedItems>
      <fieldGroup base="17">
        <rangePr startNum="17" endNum="99" groupInterval="15"/>
        <groupItems count="8">
          <s v="(blank)"/>
          <s v="17-31"/>
          <s v="32-46"/>
          <s v="47-61"/>
          <s v="62-76"/>
          <s v="77-91"/>
          <s v="92-106"/>
          <s v="&gt;107"/>
        </groupItems>
      </fieldGroup>
    </cacheField>
    <cacheField name="Satisfaction_Score_1_to_5" numFmtId="1">
      <sharedItems containsSemiMixedTypes="0" containsString="0" containsNumber="1" containsInteger="1" minValue="1" maxValue="5"/>
    </cacheField>
    <cacheField name="Overall_Experience" numFmtId="0">
      <sharedItems count="4">
        <s v="Neutral"/>
        <s v="Negative"/>
        <s v="Positive"/>
        <s v="Very positive"/>
      </sharedItems>
    </cacheField>
    <cacheField name="Would_Use_Service_Again" numFmtId="0">
      <sharedItems count="3">
        <s v="Maybe"/>
        <s v="No"/>
        <s v="Yes"/>
      </sharedItems>
    </cacheField>
    <cacheField name="What_Would_Improve_Next_Outreach" numFmtId="0">
      <sharedItems containsBlank="1" count="6">
        <s v="More outreach days"/>
        <s v="Shorter waiting time"/>
        <s v="More info before outreach"/>
        <s v="Closer service point"/>
        <m/>
        <s v="No additional suppor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BEN-2026015"/>
    <d v="2026-05-04T00:00:00"/>
    <s v="Katsina"/>
    <s v="Daura"/>
    <x v="0"/>
    <x v="0"/>
    <x v="0"/>
    <x v="0"/>
    <x v="0"/>
    <x v="0"/>
    <x v="0"/>
    <x v="0"/>
    <x v="0"/>
    <n v="58"/>
    <x v="0"/>
    <x v="0"/>
    <x v="0"/>
    <x v="0"/>
    <n v="3"/>
    <x v="0"/>
    <x v="0"/>
    <x v="0"/>
  </r>
  <r>
    <s v="BEN-2026022"/>
    <d v="2026-05-12T00:00:00"/>
    <s v="Katsina"/>
    <s v="Daura"/>
    <x v="1"/>
    <x v="1"/>
    <x v="1"/>
    <x v="1"/>
    <x v="0"/>
    <x v="1"/>
    <x v="1"/>
    <x v="1"/>
    <x v="1"/>
    <n v="33"/>
    <x v="1"/>
    <x v="1"/>
    <x v="0"/>
    <x v="1"/>
    <n v="3"/>
    <x v="1"/>
    <x v="1"/>
    <x v="1"/>
  </r>
  <r>
    <s v="BEN-2026036"/>
    <d v="2026-05-19T00:00:00"/>
    <s v="Katsina"/>
    <s v="Daura"/>
    <x v="0"/>
    <x v="2"/>
    <x v="0"/>
    <x v="0"/>
    <x v="1"/>
    <x v="0"/>
    <x v="2"/>
    <x v="2"/>
    <x v="2"/>
    <n v="96"/>
    <x v="2"/>
    <x v="0"/>
    <x v="0"/>
    <x v="2"/>
    <n v="3"/>
    <x v="0"/>
    <x v="0"/>
    <x v="1"/>
  </r>
  <r>
    <s v="BEN-2026039"/>
    <d v="2026-05-25T00:00:00"/>
    <s v="Katsina"/>
    <s v="Daura"/>
    <x v="1"/>
    <x v="0"/>
    <x v="1"/>
    <x v="0"/>
    <x v="1"/>
    <x v="1"/>
    <x v="1"/>
    <x v="1"/>
    <x v="3"/>
    <n v="295"/>
    <x v="3"/>
    <x v="0"/>
    <x v="0"/>
    <x v="3"/>
    <n v="3"/>
    <x v="0"/>
    <x v="0"/>
    <x v="0"/>
  </r>
  <r>
    <s v="BEN-2026046"/>
    <d v="2026-05-20T00:00:00"/>
    <s v="Katsina"/>
    <s v="Daura"/>
    <x v="1"/>
    <x v="0"/>
    <x v="1"/>
    <x v="0"/>
    <x v="0"/>
    <x v="1"/>
    <x v="1"/>
    <x v="2"/>
    <x v="4"/>
    <n v="58"/>
    <x v="4"/>
    <x v="0"/>
    <x v="0"/>
    <x v="4"/>
    <n v="3"/>
    <x v="2"/>
    <x v="2"/>
    <x v="2"/>
  </r>
  <r>
    <s v="BEN-2026050"/>
    <d v="2026-05-05T00:00:00"/>
    <s v="Katsina"/>
    <s v="Daura"/>
    <x v="1"/>
    <x v="2"/>
    <x v="1"/>
    <x v="0"/>
    <x v="1"/>
    <x v="1"/>
    <x v="1"/>
    <x v="2"/>
    <x v="5"/>
    <n v="81"/>
    <x v="4"/>
    <x v="1"/>
    <x v="0"/>
    <x v="5"/>
    <n v="3"/>
    <x v="0"/>
    <x v="2"/>
    <x v="3"/>
  </r>
  <r>
    <s v="BEN-2026061"/>
    <d v="2026-05-27T00:00:00"/>
    <s v="Katsina"/>
    <s v="Daura"/>
    <x v="0"/>
    <x v="0"/>
    <x v="1"/>
    <x v="0"/>
    <x v="1"/>
    <x v="1"/>
    <x v="1"/>
    <x v="3"/>
    <x v="6"/>
    <n v="33"/>
    <x v="1"/>
    <x v="2"/>
    <x v="0"/>
    <x v="6"/>
    <n v="1"/>
    <x v="0"/>
    <x v="2"/>
    <x v="3"/>
  </r>
  <r>
    <s v="BEN-2026084"/>
    <d v="2026-05-13T00:00:00"/>
    <s v="Katsina"/>
    <s v="Daura"/>
    <x v="0"/>
    <x v="0"/>
    <x v="1"/>
    <x v="0"/>
    <x v="0"/>
    <x v="1"/>
    <x v="1"/>
    <x v="1"/>
    <x v="7"/>
    <n v="17"/>
    <x v="1"/>
    <x v="0"/>
    <x v="0"/>
    <x v="7"/>
    <n v="4"/>
    <x v="3"/>
    <x v="2"/>
    <x v="3"/>
  </r>
  <r>
    <s v="BEN-2026089"/>
    <d v="2026-05-18T00:00:00"/>
    <s v="Katsina"/>
    <s v="Daura"/>
    <x v="1"/>
    <x v="2"/>
    <x v="0"/>
    <x v="0"/>
    <x v="1"/>
    <x v="0"/>
    <x v="3"/>
    <x v="2"/>
    <x v="8"/>
    <n v="28"/>
    <x v="2"/>
    <x v="0"/>
    <x v="0"/>
    <x v="8"/>
    <n v="4"/>
    <x v="0"/>
    <x v="2"/>
    <x v="4"/>
  </r>
  <r>
    <s v="BEN-2026107"/>
    <d v="2026-05-13T00:00:00"/>
    <s v="Katsina"/>
    <s v="Daura"/>
    <x v="0"/>
    <x v="2"/>
    <x v="0"/>
    <x v="0"/>
    <x v="1"/>
    <x v="0"/>
    <x v="0"/>
    <x v="3"/>
    <x v="9"/>
    <n v="22"/>
    <x v="1"/>
    <x v="0"/>
    <x v="0"/>
    <x v="2"/>
    <n v="2"/>
    <x v="1"/>
    <x v="0"/>
    <x v="1"/>
  </r>
  <r>
    <s v="BEN-2026161"/>
    <d v="2026-05-13T00:00:00"/>
    <s v="Katsina"/>
    <s v="Daura"/>
    <x v="1"/>
    <x v="0"/>
    <x v="1"/>
    <x v="0"/>
    <x v="1"/>
    <x v="1"/>
    <x v="1"/>
    <x v="4"/>
    <x v="10"/>
    <n v="42"/>
    <x v="1"/>
    <x v="2"/>
    <x v="0"/>
    <x v="9"/>
    <n v="4"/>
    <x v="3"/>
    <x v="2"/>
    <x v="1"/>
  </r>
  <r>
    <s v="BEN-2026197"/>
    <d v="2026-05-13T00:00:00"/>
    <s v="Katsina"/>
    <s v="Daura"/>
    <x v="1"/>
    <x v="0"/>
    <x v="0"/>
    <x v="0"/>
    <x v="0"/>
    <x v="0"/>
    <x v="0"/>
    <x v="1"/>
    <x v="8"/>
    <n v="25"/>
    <x v="5"/>
    <x v="0"/>
    <x v="0"/>
    <x v="10"/>
    <n v="5"/>
    <x v="2"/>
    <x v="2"/>
    <x v="2"/>
  </r>
  <r>
    <s v="BEN-2026198"/>
    <d v="2026-05-11T00:00:00"/>
    <s v="Katsina"/>
    <s v="Daura"/>
    <x v="1"/>
    <x v="2"/>
    <x v="1"/>
    <x v="0"/>
    <x v="0"/>
    <x v="0"/>
    <x v="0"/>
    <x v="2"/>
    <x v="11"/>
    <n v="25"/>
    <x v="6"/>
    <x v="0"/>
    <x v="0"/>
    <x v="5"/>
    <n v="3"/>
    <x v="0"/>
    <x v="2"/>
    <x v="5"/>
  </r>
  <r>
    <s v="BEN-2026250"/>
    <d v="2026-05-13T00:00:00"/>
    <s v="Katsina"/>
    <s v="Daura"/>
    <x v="1"/>
    <x v="0"/>
    <x v="0"/>
    <x v="0"/>
    <x v="1"/>
    <x v="0"/>
    <x v="2"/>
    <x v="5"/>
    <x v="12"/>
    <n v="34"/>
    <x v="2"/>
    <x v="0"/>
    <x v="0"/>
    <x v="11"/>
    <n v="2"/>
    <x v="1"/>
    <x v="1"/>
    <x v="2"/>
  </r>
  <r>
    <s v="BEN-2026255"/>
    <d v="2026-05-05T00:00:00"/>
    <s v="Katsina"/>
    <s v="Daura"/>
    <x v="1"/>
    <x v="2"/>
    <x v="1"/>
    <x v="0"/>
    <x v="1"/>
    <x v="1"/>
    <x v="1"/>
    <x v="6"/>
    <x v="13"/>
    <n v="21"/>
    <x v="0"/>
    <x v="0"/>
    <x v="0"/>
    <x v="12"/>
    <n v="2"/>
    <x v="1"/>
    <x v="2"/>
    <x v="2"/>
  </r>
  <r>
    <s v="BEN-2026274"/>
    <d v="2026-05-11T00:00:00"/>
    <s v="Katsina"/>
    <s v="Daura"/>
    <x v="1"/>
    <x v="3"/>
    <x v="0"/>
    <x v="0"/>
    <x v="0"/>
    <x v="0"/>
    <x v="0"/>
    <x v="1"/>
    <x v="14"/>
    <n v="32"/>
    <x v="1"/>
    <x v="0"/>
    <x v="0"/>
    <x v="13"/>
    <n v="4"/>
    <x v="2"/>
    <x v="2"/>
    <x v="1"/>
  </r>
  <r>
    <s v="BEN-2026310"/>
    <d v="2026-05-06T00:00:00"/>
    <s v="Katsina"/>
    <s v="Daura"/>
    <x v="0"/>
    <x v="4"/>
    <x v="0"/>
    <x v="1"/>
    <x v="2"/>
    <x v="1"/>
    <x v="1"/>
    <x v="1"/>
    <x v="15"/>
    <n v="17"/>
    <x v="1"/>
    <x v="0"/>
    <x v="0"/>
    <x v="14"/>
    <n v="4"/>
    <x v="2"/>
    <x v="2"/>
    <x v="0"/>
  </r>
  <r>
    <s v="BEN-2026315"/>
    <d v="2026-05-19T00:00:00"/>
    <s v="Katsina"/>
    <s v="Daura"/>
    <x v="1"/>
    <x v="3"/>
    <x v="1"/>
    <x v="0"/>
    <x v="3"/>
    <x v="0"/>
    <x v="2"/>
    <x v="1"/>
    <x v="15"/>
    <n v="18"/>
    <x v="5"/>
    <x v="0"/>
    <x v="1"/>
    <x v="15"/>
    <n v="3"/>
    <x v="0"/>
    <x v="0"/>
    <x v="3"/>
  </r>
  <r>
    <s v="BEN-2026316"/>
    <d v="2026-05-25T00:00:00"/>
    <s v="Katsina"/>
    <s v="Daura"/>
    <x v="1"/>
    <x v="2"/>
    <x v="0"/>
    <x v="0"/>
    <x v="1"/>
    <x v="0"/>
    <x v="0"/>
    <x v="6"/>
    <x v="16"/>
    <n v="43"/>
    <x v="4"/>
    <x v="0"/>
    <x v="0"/>
    <x v="16"/>
    <n v="3"/>
    <x v="0"/>
    <x v="0"/>
    <x v="0"/>
  </r>
  <r>
    <s v="BEN-2026318"/>
    <d v="2026-05-19T00:00:00"/>
    <s v="Katsina"/>
    <s v="Daura"/>
    <x v="0"/>
    <x v="0"/>
    <x v="1"/>
    <x v="0"/>
    <x v="1"/>
    <x v="0"/>
    <x v="0"/>
    <x v="5"/>
    <x v="17"/>
    <n v="60"/>
    <x v="4"/>
    <x v="0"/>
    <x v="0"/>
    <x v="17"/>
    <n v="2"/>
    <x v="1"/>
    <x v="0"/>
    <x v="0"/>
  </r>
  <r>
    <s v="BEN-2026321"/>
    <d v="2026-05-13T00:00:00"/>
    <s v="Katsina"/>
    <s v="Daura"/>
    <x v="0"/>
    <x v="3"/>
    <x v="0"/>
    <x v="0"/>
    <x v="0"/>
    <x v="0"/>
    <x v="2"/>
    <x v="3"/>
    <x v="18"/>
    <n v="33"/>
    <x v="1"/>
    <x v="0"/>
    <x v="0"/>
    <x v="10"/>
    <n v="3"/>
    <x v="0"/>
    <x v="2"/>
    <x v="3"/>
  </r>
  <r>
    <s v="BEN-2026342"/>
    <d v="2026-05-18T00:00:00"/>
    <s v="Katsina"/>
    <s v="Daura"/>
    <x v="0"/>
    <x v="5"/>
    <x v="0"/>
    <x v="1"/>
    <x v="2"/>
    <x v="1"/>
    <x v="0"/>
    <x v="6"/>
    <x v="13"/>
    <n v="22"/>
    <x v="5"/>
    <x v="2"/>
    <x v="0"/>
    <x v="18"/>
    <n v="4"/>
    <x v="2"/>
    <x v="2"/>
    <x v="1"/>
  </r>
  <r>
    <s v="BEN-2026363"/>
    <d v="2026-05-11T00:00:00"/>
    <s v="Katsina"/>
    <s v="Daura"/>
    <x v="0"/>
    <x v="3"/>
    <x v="0"/>
    <x v="0"/>
    <x v="0"/>
    <x v="0"/>
    <x v="2"/>
    <x v="2"/>
    <x v="19"/>
    <n v="21"/>
    <x v="2"/>
    <x v="3"/>
    <x v="0"/>
    <x v="19"/>
    <n v="5"/>
    <x v="3"/>
    <x v="2"/>
    <x v="2"/>
  </r>
  <r>
    <s v="BEN-2026412"/>
    <d v="2026-05-05T00:00:00"/>
    <s v="Katsina"/>
    <s v="Daura"/>
    <x v="0"/>
    <x v="0"/>
    <x v="0"/>
    <x v="0"/>
    <x v="1"/>
    <x v="0"/>
    <x v="3"/>
    <x v="1"/>
    <x v="20"/>
    <n v="27"/>
    <x v="2"/>
    <x v="0"/>
    <x v="0"/>
    <x v="20"/>
    <n v="3"/>
    <x v="0"/>
    <x v="2"/>
    <x v="1"/>
  </r>
  <r>
    <s v="BEN-2026446"/>
    <d v="2026-05-18T00:00:00"/>
    <s v="Katsina"/>
    <s v="Daura"/>
    <x v="0"/>
    <x v="3"/>
    <x v="1"/>
    <x v="0"/>
    <x v="1"/>
    <x v="0"/>
    <x v="2"/>
    <x v="2"/>
    <x v="2"/>
    <n v="92"/>
    <x v="2"/>
    <x v="0"/>
    <x v="0"/>
    <x v="15"/>
    <n v="3"/>
    <x v="0"/>
    <x v="2"/>
    <x v="1"/>
  </r>
  <r>
    <s v="BEN-2026458"/>
    <d v="2026-05-12T00:00:00"/>
    <s v="Katsina"/>
    <s v="Daura"/>
    <x v="0"/>
    <x v="1"/>
    <x v="1"/>
    <x v="0"/>
    <x v="0"/>
    <x v="0"/>
    <x v="2"/>
    <x v="1"/>
    <x v="21"/>
    <n v="39"/>
    <x v="3"/>
    <x v="0"/>
    <x v="0"/>
    <x v="21"/>
    <n v="3"/>
    <x v="1"/>
    <x v="0"/>
    <x v="1"/>
  </r>
  <r>
    <s v="BEN-2026471"/>
    <d v="2026-05-06T00:00:00"/>
    <s v="Katsina"/>
    <s v="Daura"/>
    <x v="1"/>
    <x v="0"/>
    <x v="1"/>
    <x v="0"/>
    <x v="1"/>
    <x v="0"/>
    <x v="3"/>
    <x v="0"/>
    <x v="15"/>
    <n v="23"/>
    <x v="1"/>
    <x v="2"/>
    <x v="0"/>
    <x v="22"/>
    <n v="1"/>
    <x v="1"/>
    <x v="2"/>
    <x v="0"/>
  </r>
  <r>
    <s v="BEN-2026476"/>
    <d v="2026-05-04T00:00:00"/>
    <s v="Katsina"/>
    <s v="Daura"/>
    <x v="0"/>
    <x v="5"/>
    <x v="0"/>
    <x v="1"/>
    <x v="0"/>
    <x v="0"/>
    <x v="2"/>
    <x v="3"/>
    <x v="21"/>
    <n v="45"/>
    <x v="2"/>
    <x v="0"/>
    <x v="1"/>
    <x v="23"/>
    <n v="4"/>
    <x v="2"/>
    <x v="0"/>
    <x v="1"/>
  </r>
  <r>
    <s v="BEN-2026487"/>
    <d v="2026-05-13T00:00:00"/>
    <s v="Katsina"/>
    <s v="Daura"/>
    <x v="0"/>
    <x v="0"/>
    <x v="0"/>
    <x v="0"/>
    <x v="1"/>
    <x v="0"/>
    <x v="0"/>
    <x v="1"/>
    <x v="16"/>
    <n v="42"/>
    <x v="5"/>
    <x v="0"/>
    <x v="0"/>
    <x v="10"/>
    <n v="3"/>
    <x v="1"/>
    <x v="1"/>
    <x v="3"/>
  </r>
  <r>
    <s v="BEN-2026493"/>
    <d v="2026-05-19T00:00:00"/>
    <s v="Katsina"/>
    <s v="Daura"/>
    <x v="1"/>
    <x v="3"/>
    <x v="0"/>
    <x v="0"/>
    <x v="1"/>
    <x v="0"/>
    <x v="1"/>
    <x v="1"/>
    <x v="22"/>
    <n v="40"/>
    <x v="1"/>
    <x v="0"/>
    <x v="0"/>
    <x v="24"/>
    <n v="4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DD071-8979-468B-9D13-92A6253F5632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rvice Received">
  <location ref="A30:C35" firstHeaderRow="0" firstDataRow="1" firstDataCol="1"/>
  <pivotFields count="22">
    <pivotField dataField="1" showAll="0"/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BCED4-7A18-410D-BF60-6039183A97B1}" name="PivotTable1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all Experience">
  <location ref="A119:D145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8">
        <item x="1"/>
        <item x="3"/>
        <item x="0"/>
        <item x="2"/>
        <item x="6"/>
        <item x="5"/>
        <item x="4"/>
        <item t="default"/>
      </items>
    </pivotField>
    <pivotField showAll="0"/>
    <pivotField numFmtId="3" showAll="0"/>
    <pivotField showAll="0">
      <items count="8">
        <item x="6"/>
        <item x="4"/>
        <item x="2"/>
        <item x="5"/>
        <item x="1"/>
        <item x="0"/>
        <item x="3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"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3">
    <field x="19"/>
    <field x="4"/>
    <field x="20"/>
  </rowFields>
  <rowItems count="26">
    <i>
      <x/>
    </i>
    <i r="1">
      <x/>
    </i>
    <i r="2">
      <x/>
    </i>
    <i r="2">
      <x v="1"/>
    </i>
    <i r="1">
      <x v="1"/>
    </i>
    <i r="2">
      <x v="1"/>
    </i>
    <i r="2">
      <x v="2"/>
    </i>
    <i>
      <x v="1"/>
    </i>
    <i r="1">
      <x/>
    </i>
    <i r="2">
      <x/>
    </i>
    <i r="2">
      <x v="2"/>
    </i>
    <i r="1">
      <x v="1"/>
    </i>
    <i r="2">
      <x/>
    </i>
    <i r="2">
      <x v="2"/>
    </i>
    <i>
      <x v="2"/>
    </i>
    <i r="1">
      <x/>
    </i>
    <i r="2">
      <x/>
    </i>
    <i r="2">
      <x v="2"/>
    </i>
    <i r="1">
      <x v="1"/>
    </i>
    <i r="2">
      <x v="2"/>
    </i>
    <i>
      <x v="3"/>
    </i>
    <i r="1">
      <x/>
    </i>
    <i r="2">
      <x v="2"/>
    </i>
    <i r="1"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umber of Attendees" fld="0" subtotal="count" baseField="0" baseItem="0"/>
    <dataField name="Percentage" fld="0" subtotal="count" showDataAs="percentOfTotal" baseField="9" baseItem="0" numFmtId="10"/>
    <dataField name="Average of Satisfaction_Score_1_to_5" fld="18" subtotal="average" baseField="19" baseItem="0" numFmtId="2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83AC9-939F-47FF-AF22-72257F037DDD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w they heard about outreach">
  <location ref="A48:C68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8">
        <item x="1"/>
        <item x="3"/>
        <item x="0"/>
        <item x="2"/>
        <item x="6"/>
        <item x="5"/>
        <item x="4"/>
        <item t="default"/>
      </items>
    </pivotField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2">
    <field x="11"/>
    <field x="4"/>
  </rowFields>
  <rowItems count="20">
    <i>
      <x/>
    </i>
    <i r="1">
      <x/>
    </i>
    <i r="1">
      <x v="1"/>
    </i>
    <i>
      <x v="1"/>
    </i>
    <i r="1">
      <x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EAD70-7380-4977-BCF8-9F51B3A8923D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vious Access">
  <location ref="E40:G53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2">
    <field x="10"/>
    <field x="4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595C6-2263-4C82-BEB8-035414FF3B28}" name="PivotTable1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hat to improve">
  <location ref="A148:C165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8">
        <item x="1"/>
        <item x="3"/>
        <item x="0"/>
        <item x="2"/>
        <item x="6"/>
        <item x="5"/>
        <item x="4"/>
        <item t="default"/>
      </items>
    </pivotField>
    <pivotField showAll="0"/>
    <pivotField numFmtId="3" showAll="0"/>
    <pivotField showAll="0">
      <items count="8">
        <item x="6"/>
        <item x="4"/>
        <item x="2"/>
        <item x="5"/>
        <item x="1"/>
        <item x="0"/>
        <item x="3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axis="axisRow" showAll="0">
      <items count="7">
        <item x="3"/>
        <item x="2"/>
        <item x="0"/>
        <item x="5"/>
        <item x="1"/>
        <item x="4"/>
        <item t="default"/>
      </items>
    </pivotField>
  </pivotFields>
  <rowFields count="2">
    <field x="21"/>
    <field x="4"/>
  </rowFields>
  <rowItems count="17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1"/>
    </i>
    <i>
      <x v="4"/>
    </i>
    <i r="1">
      <x/>
    </i>
    <i r="1">
      <x v="1"/>
    </i>
    <i>
      <x v="5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F380F-F451-4CD7-B7A9-19C6D241B9D1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11:C18" firstHeaderRow="0" firstDataRow="1" firstDataCol="1"/>
  <pivotFields count="22">
    <pivotField dataField="1" showAll="0"/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7"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3073F-11BF-4FCB-AEAA-C0899AF5871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2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Items count="1">
    <i/>
  </rowItems>
  <colItems count="1">
    <i/>
  </colItems>
  <dataFields count="1">
    <dataField name="Number of Attende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3733B-2965-4D60-9FA7-D6DA190F542F}" name="PivotTable1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aiting Time Minutes">
  <location ref="A109:C117" firstHeaderRow="0" firstDataRow="1" firstDataCol="1"/>
  <pivotFields count="22">
    <pivotField dataField="1" showAll="0"/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8">
        <item x="1"/>
        <item x="3"/>
        <item x="0"/>
        <item x="2"/>
        <item x="6"/>
        <item x="5"/>
        <item x="4"/>
        <item t="default"/>
      </items>
    </pivotField>
    <pivotField showAll="0"/>
    <pivotField numFmtId="3" showAll="0"/>
    <pivotField showAll="0">
      <items count="8">
        <item x="6"/>
        <item x="4"/>
        <item x="2"/>
        <item x="5"/>
        <item x="1"/>
        <item x="0"/>
        <item x="3"/>
        <item t="default"/>
      </items>
    </pivotField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" showAll="0"/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Beneficiaries" fld="0" subtotal="count" baseField="17" baseItem="0" numFmtId="1"/>
    <dataField name="Average of Satisfaction_Score_1_to_5" fld="18" subtotal="average" baseField="17" baseItem="1" numFmtId="2"/>
  </dataFields>
  <formats count="2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E3D00-3632-482A-8E7F-48975EC79A83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arrier Before Attending">
  <location ref="A70:C91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8">
        <item x="1"/>
        <item x="3"/>
        <item x="0"/>
        <item x="2"/>
        <item x="6"/>
        <item x="5"/>
        <item x="4"/>
        <item t="default"/>
      </items>
    </pivotField>
    <pivotField showAll="0"/>
    <pivotField numFmtId="3" showAll="0"/>
    <pivotField axis="axisRow" showAll="0">
      <items count="8">
        <item x="6"/>
        <item x="4"/>
        <item x="2"/>
        <item x="5"/>
        <item x="1"/>
        <item x="0"/>
        <item x="3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2">
    <field x="14"/>
    <field x="4"/>
  </rowFields>
  <rowItems count="21">
    <i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A8B52-7CE7-4A55-95FE-C8FF30727637}" name="PivotTable1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ferred Communication">
  <location ref="A167:C185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8">
        <item x="1"/>
        <item x="3"/>
        <item x="0"/>
        <item x="2"/>
        <item x="6"/>
        <item x="5"/>
        <item x="4"/>
        <item t="default"/>
      </items>
    </pivotField>
    <pivotField showAll="0"/>
    <pivotField numFmtId="3" showAll="0"/>
    <pivotField showAll="0">
      <items count="8">
        <item x="6"/>
        <item x="4"/>
        <item x="2"/>
        <item x="5"/>
        <item x="1"/>
        <item x="0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>
      <items count="7">
        <item x="3"/>
        <item x="2"/>
        <item x="0"/>
        <item x="5"/>
        <item x="1"/>
        <item x="4"/>
        <item t="default"/>
      </items>
    </pivotField>
  </pivotFields>
  <rowFields count="3">
    <field x="15"/>
    <field x="16"/>
    <field x="4"/>
  </rowFields>
  <rowItems count="18">
    <i>
      <x/>
    </i>
    <i r="1">
      <x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>
      <x v="2"/>
    </i>
    <i r="1">
      <x/>
    </i>
    <i r="2">
      <x v="1"/>
    </i>
    <i>
      <x v="3"/>
    </i>
    <i r="1">
      <x/>
    </i>
    <i r="2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8B3FF-DC73-4433-AFAC-0E7F60567518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irst Time">
  <location ref="A38:C45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2">
    <field x="9"/>
    <field x="4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66D41-C094-4837-877B-EF21DBE1DCF6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E3:G10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2">
    <field x="6"/>
    <field x="4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7ACF2-A222-4BFB-B934-F298BFB97F05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rvice Received">
  <location ref="I30:K41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2">
    <field x="8"/>
    <field x="4"/>
  </rowFields>
  <rowItems count="11">
    <i>
      <x/>
    </i>
    <i r="1">
      <x/>
    </i>
    <i r="1">
      <x v="1"/>
    </i>
    <i>
      <x v="1"/>
    </i>
    <i r="1">
      <x/>
    </i>
    <i>
      <x v="2"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42336-130B-4948-8D37-36BBF89FB7FC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spondent Type">
  <location ref="A25:C28" firstHeaderRow="0" firstDataRow="1" firstDataCol="1"/>
  <pivotFields count="22">
    <pivotField dataField="1" showAll="0"/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3A1CF-94E0-423C-A971-86B2AAFA39DA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E11:G28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7"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2">
    <field x="5"/>
    <field x="4"/>
  </rowFields>
  <rowItems count="17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>
      <x v="3"/>
    </i>
    <i r="1">
      <x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BBD30-74B2-4B21-9141-3C439E6870F2}" name="PivotTable11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spondent Type">
  <location ref="E30:G37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2">
    <field x="7"/>
    <field x="4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48EEF-AA7B-4F8F-BDE6-C6273C9F8C2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munity">
  <location ref="A6:C9" firstHeaderRow="0" firstDataRow="1" firstDataCol="1"/>
  <pivotFields count="22">
    <pivotField dataField="1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97A5D-48A5-463E-A6A8-5D325A615B2C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20:C23" firstHeaderRow="0" firstDataRow="1" firstDataCol="1"/>
  <pivotFields count="22">
    <pivotField dataField="1" showAll="0"/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1"/>
        <item x="2"/>
        <item x="5"/>
        <item x="4"/>
        <item x="3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Attendees" fld="0" subtotal="count" baseField="0" baseItem="0"/>
    <dataField name="Percentage" fld="0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B76A-4603-4BCF-8BE4-EA739E2CD9DB}">
  <dimension ref="A1:V31"/>
  <sheetViews>
    <sheetView topLeftCell="M1" workbookViewId="0">
      <selection activeCell="R1" sqref="R1:R31"/>
    </sheetView>
  </sheetViews>
  <sheetFormatPr defaultRowHeight="15" x14ac:dyDescent="0.25"/>
  <cols>
    <col min="1" max="1" width="14" bestFit="1" customWidth="1"/>
    <col min="2" max="2" width="14.42578125" bestFit="1" customWidth="1"/>
    <col min="3" max="3" width="7.42578125" bestFit="1" customWidth="1"/>
    <col min="4" max="4" width="6.140625" bestFit="1" customWidth="1"/>
    <col min="5" max="5" width="11.28515625" bestFit="1" customWidth="1"/>
    <col min="6" max="6" width="11" bestFit="1" customWidth="1"/>
    <col min="7" max="7" width="7.5703125" bestFit="1" customWidth="1"/>
    <col min="8" max="8" width="25.5703125" bestFit="1" customWidth="1"/>
    <col min="9" max="9" width="22" bestFit="1" customWidth="1"/>
    <col min="10" max="10" width="27.85546875" bestFit="1" customWidth="1"/>
    <col min="11" max="11" width="26.42578125" bestFit="1" customWidth="1"/>
    <col min="12" max="12" width="27.42578125" bestFit="1" customWidth="1"/>
    <col min="13" max="13" width="24.85546875" bestFit="1" customWidth="1"/>
    <col min="14" max="14" width="20.5703125" bestFit="1" customWidth="1"/>
    <col min="15" max="15" width="30.85546875" bestFit="1" customWidth="1"/>
    <col min="16" max="16" width="34.7109375" bestFit="1" customWidth="1"/>
    <col min="17" max="17" width="15.5703125" bestFit="1" customWidth="1"/>
    <col min="18" max="18" width="22.28515625" bestFit="1" customWidth="1"/>
    <col min="19" max="19" width="24.42578125" bestFit="1" customWidth="1"/>
    <col min="20" max="20" width="18.5703125" bestFit="1" customWidth="1"/>
    <col min="21" max="21" width="25.28515625" bestFit="1" customWidth="1"/>
    <col min="22" max="22" width="36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3">
        <v>46146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5">
        <v>4.2</v>
      </c>
      <c r="N2" s="6">
        <v>58</v>
      </c>
      <c r="O2" s="4" t="s">
        <v>33</v>
      </c>
      <c r="P2" s="4" t="s">
        <v>34</v>
      </c>
      <c r="Q2" s="4" t="s">
        <v>30</v>
      </c>
      <c r="R2" s="6">
        <v>51</v>
      </c>
      <c r="S2" s="7">
        <v>3</v>
      </c>
      <c r="T2" s="4" t="s">
        <v>35</v>
      </c>
      <c r="U2" s="4" t="s">
        <v>36</v>
      </c>
      <c r="V2" s="8" t="s">
        <v>37</v>
      </c>
    </row>
    <row r="3" spans="1:22" x14ac:dyDescent="0.25">
      <c r="A3" s="2" t="s">
        <v>38</v>
      </c>
      <c r="B3" s="3">
        <v>46154</v>
      </c>
      <c r="C3" s="4" t="s">
        <v>23</v>
      </c>
      <c r="D3" s="4" t="s">
        <v>24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29</v>
      </c>
      <c r="J3" s="4" t="s">
        <v>43</v>
      </c>
      <c r="K3" s="4" t="s">
        <v>44</v>
      </c>
      <c r="L3" s="4" t="s">
        <v>45</v>
      </c>
      <c r="M3" s="5">
        <v>1.7</v>
      </c>
      <c r="N3" s="6">
        <v>33</v>
      </c>
      <c r="O3" s="4" t="s">
        <v>46</v>
      </c>
      <c r="P3" s="4" t="s">
        <v>47</v>
      </c>
      <c r="Q3" s="4" t="s">
        <v>30</v>
      </c>
      <c r="R3" s="6">
        <v>58</v>
      </c>
      <c r="S3" s="7">
        <v>3</v>
      </c>
      <c r="T3" s="4" t="s">
        <v>48</v>
      </c>
      <c r="U3" s="4" t="s">
        <v>30</v>
      </c>
      <c r="V3" s="8" t="s">
        <v>49</v>
      </c>
    </row>
    <row r="4" spans="1:22" x14ac:dyDescent="0.25">
      <c r="A4" s="2" t="s">
        <v>50</v>
      </c>
      <c r="B4" s="3">
        <v>46161</v>
      </c>
      <c r="C4" s="4" t="s">
        <v>23</v>
      </c>
      <c r="D4" s="4" t="s">
        <v>24</v>
      </c>
      <c r="E4" s="4" t="s">
        <v>25</v>
      </c>
      <c r="F4" s="4" t="s">
        <v>51</v>
      </c>
      <c r="G4" s="4" t="s">
        <v>27</v>
      </c>
      <c r="H4" s="4" t="s">
        <v>28</v>
      </c>
      <c r="I4" s="4" t="s">
        <v>52</v>
      </c>
      <c r="J4" s="4" t="s">
        <v>30</v>
      </c>
      <c r="K4" s="4" t="s">
        <v>53</v>
      </c>
      <c r="L4" s="4" t="s">
        <v>54</v>
      </c>
      <c r="M4" s="5">
        <v>8.1999999999999993</v>
      </c>
      <c r="N4" s="6">
        <v>96</v>
      </c>
      <c r="O4" s="4" t="s">
        <v>55</v>
      </c>
      <c r="P4" s="4" t="s">
        <v>34</v>
      </c>
      <c r="Q4" s="4" t="s">
        <v>30</v>
      </c>
      <c r="R4" s="6">
        <v>53</v>
      </c>
      <c r="S4" s="7">
        <v>3</v>
      </c>
      <c r="T4" s="4" t="s">
        <v>35</v>
      </c>
      <c r="U4" s="4" t="s">
        <v>36</v>
      </c>
      <c r="V4" s="8" t="s">
        <v>49</v>
      </c>
    </row>
    <row r="5" spans="1:22" x14ac:dyDescent="0.25">
      <c r="A5" s="2" t="s">
        <v>56</v>
      </c>
      <c r="B5" s="3">
        <v>46167</v>
      </c>
      <c r="C5" s="4" t="s">
        <v>23</v>
      </c>
      <c r="D5" s="4" t="s">
        <v>24</v>
      </c>
      <c r="E5" s="4" t="s">
        <v>39</v>
      </c>
      <c r="F5" s="4" t="s">
        <v>26</v>
      </c>
      <c r="G5" s="4" t="s">
        <v>41</v>
      </c>
      <c r="H5" s="4" t="s">
        <v>28</v>
      </c>
      <c r="I5" s="4" t="s">
        <v>52</v>
      </c>
      <c r="J5" s="4" t="s">
        <v>43</v>
      </c>
      <c r="K5" s="4" t="s">
        <v>44</v>
      </c>
      <c r="L5" s="4" t="s">
        <v>45</v>
      </c>
      <c r="M5" s="5">
        <v>3</v>
      </c>
      <c r="N5" s="6">
        <v>295</v>
      </c>
      <c r="O5" s="4" t="s">
        <v>57</v>
      </c>
      <c r="P5" s="4" t="s">
        <v>34</v>
      </c>
      <c r="Q5" s="4" t="s">
        <v>30</v>
      </c>
      <c r="R5" s="6">
        <v>79</v>
      </c>
      <c r="S5" s="7">
        <v>3</v>
      </c>
      <c r="T5" s="4" t="s">
        <v>35</v>
      </c>
      <c r="U5" s="4" t="s">
        <v>36</v>
      </c>
      <c r="V5" s="8" t="s">
        <v>37</v>
      </c>
    </row>
    <row r="6" spans="1:22" x14ac:dyDescent="0.25">
      <c r="A6" s="2" t="s">
        <v>58</v>
      </c>
      <c r="B6" s="3">
        <v>46162</v>
      </c>
      <c r="C6" s="4" t="s">
        <v>23</v>
      </c>
      <c r="D6" s="4" t="s">
        <v>24</v>
      </c>
      <c r="E6" s="4" t="s">
        <v>39</v>
      </c>
      <c r="F6" s="4" t="s">
        <v>26</v>
      </c>
      <c r="G6" s="4" t="s">
        <v>41</v>
      </c>
      <c r="H6" s="4" t="s">
        <v>28</v>
      </c>
      <c r="I6" s="4" t="s">
        <v>29</v>
      </c>
      <c r="J6" s="4" t="s">
        <v>43</v>
      </c>
      <c r="K6" s="4" t="s">
        <v>44</v>
      </c>
      <c r="L6" s="4" t="s">
        <v>54</v>
      </c>
      <c r="M6" s="5">
        <v>5.9</v>
      </c>
      <c r="N6" s="6">
        <v>58</v>
      </c>
      <c r="O6" s="4" t="s">
        <v>59</v>
      </c>
      <c r="P6" s="4" t="s">
        <v>34</v>
      </c>
      <c r="Q6" s="4" t="s">
        <v>30</v>
      </c>
      <c r="R6" s="4"/>
      <c r="S6" s="7">
        <v>3</v>
      </c>
      <c r="T6" s="4" t="s">
        <v>60</v>
      </c>
      <c r="U6" s="4" t="s">
        <v>43</v>
      </c>
      <c r="V6" s="8" t="s">
        <v>61</v>
      </c>
    </row>
    <row r="7" spans="1:22" x14ac:dyDescent="0.25">
      <c r="A7" s="2" t="s">
        <v>62</v>
      </c>
      <c r="B7" s="3">
        <v>46147</v>
      </c>
      <c r="C7" s="4" t="s">
        <v>23</v>
      </c>
      <c r="D7" s="4" t="s">
        <v>24</v>
      </c>
      <c r="E7" s="4" t="s">
        <v>39</v>
      </c>
      <c r="F7" s="4" t="s">
        <v>51</v>
      </c>
      <c r="G7" s="4" t="s">
        <v>41</v>
      </c>
      <c r="H7" s="4" t="s">
        <v>28</v>
      </c>
      <c r="I7" s="4" t="s">
        <v>52</v>
      </c>
      <c r="J7" s="4" t="s">
        <v>43</v>
      </c>
      <c r="K7" s="4" t="s">
        <v>44</v>
      </c>
      <c r="L7" s="4" t="s">
        <v>54</v>
      </c>
      <c r="M7" s="5">
        <v>7.4</v>
      </c>
      <c r="N7" s="6">
        <v>81</v>
      </c>
      <c r="O7" s="4" t="s">
        <v>59</v>
      </c>
      <c r="P7" s="4" t="s">
        <v>47</v>
      </c>
      <c r="Q7" s="4" t="s">
        <v>30</v>
      </c>
      <c r="R7" s="6">
        <v>73</v>
      </c>
      <c r="S7" s="7">
        <v>3</v>
      </c>
      <c r="T7" s="4" t="s">
        <v>35</v>
      </c>
      <c r="U7" s="4" t="s">
        <v>43</v>
      </c>
      <c r="V7" s="8" t="s">
        <v>63</v>
      </c>
    </row>
    <row r="8" spans="1:22" x14ac:dyDescent="0.25">
      <c r="A8" s="2" t="s">
        <v>64</v>
      </c>
      <c r="B8" s="3">
        <v>46169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41</v>
      </c>
      <c r="H8" s="4" t="s">
        <v>28</v>
      </c>
      <c r="I8" s="4" t="s">
        <v>52</v>
      </c>
      <c r="J8" s="4" t="s">
        <v>43</v>
      </c>
      <c r="K8" s="4" t="s">
        <v>44</v>
      </c>
      <c r="L8" s="4" t="s">
        <v>65</v>
      </c>
      <c r="M8" s="5">
        <v>2</v>
      </c>
      <c r="N8" s="6">
        <v>33</v>
      </c>
      <c r="O8" s="4" t="s">
        <v>46</v>
      </c>
      <c r="P8" s="4" t="s">
        <v>66</v>
      </c>
      <c r="Q8" s="4" t="s">
        <v>30</v>
      </c>
      <c r="R8" s="6">
        <v>21</v>
      </c>
      <c r="S8" s="7">
        <v>1</v>
      </c>
      <c r="T8" s="4" t="s">
        <v>35</v>
      </c>
      <c r="U8" s="4" t="s">
        <v>43</v>
      </c>
      <c r="V8" s="8" t="s">
        <v>63</v>
      </c>
    </row>
    <row r="9" spans="1:22" x14ac:dyDescent="0.25">
      <c r="A9" s="2" t="s">
        <v>67</v>
      </c>
      <c r="B9" s="3">
        <v>46155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41</v>
      </c>
      <c r="H9" s="4" t="s">
        <v>28</v>
      </c>
      <c r="I9" s="4" t="s">
        <v>29</v>
      </c>
      <c r="J9" s="4" t="s">
        <v>43</v>
      </c>
      <c r="K9" s="4" t="s">
        <v>44</v>
      </c>
      <c r="L9" s="4" t="s">
        <v>45</v>
      </c>
      <c r="M9" s="4"/>
      <c r="N9" s="6">
        <v>17</v>
      </c>
      <c r="O9" s="4" t="s">
        <v>46</v>
      </c>
      <c r="P9" s="4" t="s">
        <v>34</v>
      </c>
      <c r="Q9" s="4" t="s">
        <v>30</v>
      </c>
      <c r="R9" s="6">
        <v>99</v>
      </c>
      <c r="S9" s="7">
        <v>4</v>
      </c>
      <c r="T9" s="4" t="s">
        <v>68</v>
      </c>
      <c r="U9" s="4" t="s">
        <v>43</v>
      </c>
      <c r="V9" s="8" t="s">
        <v>63</v>
      </c>
    </row>
    <row r="10" spans="1:22" x14ac:dyDescent="0.25">
      <c r="A10" s="2" t="s">
        <v>69</v>
      </c>
      <c r="B10" s="3">
        <v>46160</v>
      </c>
      <c r="C10" s="4" t="s">
        <v>23</v>
      </c>
      <c r="D10" s="4" t="s">
        <v>24</v>
      </c>
      <c r="E10" s="4" t="s">
        <v>39</v>
      </c>
      <c r="F10" s="4" t="s">
        <v>51</v>
      </c>
      <c r="G10" s="4" t="s">
        <v>27</v>
      </c>
      <c r="H10" s="4" t="s">
        <v>28</v>
      </c>
      <c r="I10" s="4" t="s">
        <v>52</v>
      </c>
      <c r="J10" s="4" t="s">
        <v>30</v>
      </c>
      <c r="K10" s="4" t="s">
        <v>70</v>
      </c>
      <c r="L10" s="4" t="s">
        <v>54</v>
      </c>
      <c r="M10" s="5">
        <v>1.3</v>
      </c>
      <c r="N10" s="6">
        <v>28</v>
      </c>
      <c r="O10" s="4" t="s">
        <v>55</v>
      </c>
      <c r="P10" s="4" t="s">
        <v>34</v>
      </c>
      <c r="Q10" s="4" t="s">
        <v>30</v>
      </c>
      <c r="R10" s="6">
        <v>39</v>
      </c>
      <c r="S10" s="7">
        <v>4</v>
      </c>
      <c r="T10" s="4" t="s">
        <v>35</v>
      </c>
      <c r="U10" s="4" t="s">
        <v>43</v>
      </c>
      <c r="V10" s="8"/>
    </row>
    <row r="11" spans="1:22" x14ac:dyDescent="0.25">
      <c r="A11" s="2" t="s">
        <v>71</v>
      </c>
      <c r="B11" s="3">
        <v>46155</v>
      </c>
      <c r="C11" s="4" t="s">
        <v>23</v>
      </c>
      <c r="D11" s="4" t="s">
        <v>24</v>
      </c>
      <c r="E11" s="4" t="s">
        <v>25</v>
      </c>
      <c r="F11" s="4" t="s">
        <v>51</v>
      </c>
      <c r="G11" s="4" t="s">
        <v>27</v>
      </c>
      <c r="H11" s="4" t="s">
        <v>28</v>
      </c>
      <c r="I11" s="4" t="s">
        <v>52</v>
      </c>
      <c r="J11" s="4" t="s">
        <v>30</v>
      </c>
      <c r="K11" s="4" t="s">
        <v>31</v>
      </c>
      <c r="L11" s="4" t="s">
        <v>65</v>
      </c>
      <c r="M11" s="5">
        <v>1.1000000000000001</v>
      </c>
      <c r="N11" s="6">
        <v>22</v>
      </c>
      <c r="O11" s="4" t="s">
        <v>46</v>
      </c>
      <c r="P11" s="4" t="s">
        <v>34</v>
      </c>
      <c r="Q11" s="4" t="s">
        <v>30</v>
      </c>
      <c r="R11" s="6">
        <v>53</v>
      </c>
      <c r="S11" s="7">
        <v>2</v>
      </c>
      <c r="T11" s="4" t="s">
        <v>48</v>
      </c>
      <c r="U11" s="4" t="s">
        <v>36</v>
      </c>
      <c r="V11" s="8" t="s">
        <v>49</v>
      </c>
    </row>
    <row r="12" spans="1:22" x14ac:dyDescent="0.25">
      <c r="A12" s="2" t="s">
        <v>72</v>
      </c>
      <c r="B12" s="3">
        <v>46155</v>
      </c>
      <c r="C12" s="4" t="s">
        <v>23</v>
      </c>
      <c r="D12" s="4" t="s">
        <v>24</v>
      </c>
      <c r="E12" s="4" t="s">
        <v>39</v>
      </c>
      <c r="F12" s="4" t="s">
        <v>26</v>
      </c>
      <c r="G12" s="4" t="s">
        <v>41</v>
      </c>
      <c r="H12" s="4" t="s">
        <v>28</v>
      </c>
      <c r="I12" s="4" t="s">
        <v>52</v>
      </c>
      <c r="J12" s="4" t="s">
        <v>43</v>
      </c>
      <c r="K12" s="4" t="s">
        <v>44</v>
      </c>
      <c r="L12" s="4" t="s">
        <v>73</v>
      </c>
      <c r="M12" s="5">
        <v>2.5</v>
      </c>
      <c r="N12" s="6">
        <v>42</v>
      </c>
      <c r="O12" s="4" t="s">
        <v>46</v>
      </c>
      <c r="P12" s="4" t="s">
        <v>66</v>
      </c>
      <c r="Q12" s="4" t="s">
        <v>30</v>
      </c>
      <c r="R12" s="6">
        <v>60</v>
      </c>
      <c r="S12" s="7">
        <v>4</v>
      </c>
      <c r="T12" s="4" t="s">
        <v>68</v>
      </c>
      <c r="U12" s="4" t="s">
        <v>43</v>
      </c>
      <c r="V12" s="8" t="s">
        <v>49</v>
      </c>
    </row>
    <row r="13" spans="1:22" x14ac:dyDescent="0.25">
      <c r="A13" s="2" t="s">
        <v>74</v>
      </c>
      <c r="B13" s="3">
        <v>46155</v>
      </c>
      <c r="C13" s="4" t="s">
        <v>23</v>
      </c>
      <c r="D13" s="4" t="s">
        <v>24</v>
      </c>
      <c r="E13" s="4" t="s">
        <v>39</v>
      </c>
      <c r="F13" s="4" t="s">
        <v>26</v>
      </c>
      <c r="G13" s="4" t="s">
        <v>27</v>
      </c>
      <c r="H13" s="4" t="s">
        <v>28</v>
      </c>
      <c r="I13" s="4" t="s">
        <v>29</v>
      </c>
      <c r="J13" s="4" t="s">
        <v>30</v>
      </c>
      <c r="K13" s="4" t="s">
        <v>31</v>
      </c>
      <c r="L13" s="4" t="s">
        <v>45</v>
      </c>
      <c r="M13" s="5">
        <v>1.3</v>
      </c>
      <c r="N13" s="6">
        <v>25</v>
      </c>
      <c r="O13" s="4" t="s">
        <v>75</v>
      </c>
      <c r="P13" s="4" t="s">
        <v>34</v>
      </c>
      <c r="Q13" s="4" t="s">
        <v>30</v>
      </c>
      <c r="R13" s="6">
        <v>48</v>
      </c>
      <c r="S13" s="7">
        <v>5</v>
      </c>
      <c r="T13" s="4" t="s">
        <v>60</v>
      </c>
      <c r="U13" s="4" t="s">
        <v>43</v>
      </c>
      <c r="V13" s="8" t="s">
        <v>61</v>
      </c>
    </row>
    <row r="14" spans="1:22" x14ac:dyDescent="0.25">
      <c r="A14" s="2" t="s">
        <v>76</v>
      </c>
      <c r="B14" s="3">
        <v>46153</v>
      </c>
      <c r="C14" s="4" t="s">
        <v>23</v>
      </c>
      <c r="D14" s="4" t="s">
        <v>24</v>
      </c>
      <c r="E14" s="4" t="s">
        <v>39</v>
      </c>
      <c r="F14" s="4" t="s">
        <v>51</v>
      </c>
      <c r="G14" s="4" t="s">
        <v>41</v>
      </c>
      <c r="H14" s="4" t="s">
        <v>28</v>
      </c>
      <c r="I14" s="4" t="s">
        <v>29</v>
      </c>
      <c r="J14" s="4" t="s">
        <v>30</v>
      </c>
      <c r="K14" s="4" t="s">
        <v>31</v>
      </c>
      <c r="L14" s="4" t="s">
        <v>54</v>
      </c>
      <c r="M14" s="5">
        <v>2.2999999999999998</v>
      </c>
      <c r="N14" s="6">
        <v>25</v>
      </c>
      <c r="O14" s="4" t="s">
        <v>77</v>
      </c>
      <c r="P14" s="4" t="s">
        <v>34</v>
      </c>
      <c r="Q14" s="4" t="s">
        <v>30</v>
      </c>
      <c r="R14" s="6">
        <v>73</v>
      </c>
      <c r="S14" s="7">
        <v>3</v>
      </c>
      <c r="T14" s="4" t="s">
        <v>35</v>
      </c>
      <c r="U14" s="4" t="s">
        <v>43</v>
      </c>
      <c r="V14" s="8" t="s">
        <v>78</v>
      </c>
    </row>
    <row r="15" spans="1:22" x14ac:dyDescent="0.25">
      <c r="A15" s="2" t="s">
        <v>79</v>
      </c>
      <c r="B15" s="3">
        <v>46155</v>
      </c>
      <c r="C15" s="4" t="s">
        <v>23</v>
      </c>
      <c r="D15" s="4" t="s">
        <v>24</v>
      </c>
      <c r="E15" s="4" t="s">
        <v>39</v>
      </c>
      <c r="F15" s="4" t="s">
        <v>26</v>
      </c>
      <c r="G15" s="4" t="s">
        <v>27</v>
      </c>
      <c r="H15" s="4" t="s">
        <v>28</v>
      </c>
      <c r="I15" s="4" t="s">
        <v>52</v>
      </c>
      <c r="J15" s="4" t="s">
        <v>30</v>
      </c>
      <c r="K15" s="4" t="s">
        <v>53</v>
      </c>
      <c r="L15" s="4" t="s">
        <v>80</v>
      </c>
      <c r="M15" s="5">
        <v>2.2000000000000002</v>
      </c>
      <c r="N15" s="6">
        <v>34</v>
      </c>
      <c r="O15" s="4" t="s">
        <v>55</v>
      </c>
      <c r="P15" s="4" t="s">
        <v>34</v>
      </c>
      <c r="Q15" s="4" t="s">
        <v>30</v>
      </c>
      <c r="R15" s="6">
        <v>40</v>
      </c>
      <c r="S15" s="7">
        <v>2</v>
      </c>
      <c r="T15" s="4" t="s">
        <v>48</v>
      </c>
      <c r="U15" s="4" t="s">
        <v>30</v>
      </c>
      <c r="V15" s="8" t="s">
        <v>61</v>
      </c>
    </row>
    <row r="16" spans="1:22" x14ac:dyDescent="0.25">
      <c r="A16" s="2" t="s">
        <v>81</v>
      </c>
      <c r="B16" s="3">
        <v>46147</v>
      </c>
      <c r="C16" s="4" t="s">
        <v>23</v>
      </c>
      <c r="D16" s="4" t="s">
        <v>24</v>
      </c>
      <c r="E16" s="4" t="s">
        <v>39</v>
      </c>
      <c r="F16" s="4" t="s">
        <v>51</v>
      </c>
      <c r="G16" s="4" t="s">
        <v>41</v>
      </c>
      <c r="H16" s="4" t="s">
        <v>28</v>
      </c>
      <c r="I16" s="4" t="s">
        <v>52</v>
      </c>
      <c r="J16" s="4" t="s">
        <v>43</v>
      </c>
      <c r="K16" s="4" t="s">
        <v>44</v>
      </c>
      <c r="L16" s="4" t="s">
        <v>82</v>
      </c>
      <c r="M16" s="5">
        <v>0.9</v>
      </c>
      <c r="N16" s="6">
        <v>21</v>
      </c>
      <c r="O16" s="4" t="s">
        <v>33</v>
      </c>
      <c r="P16" s="4" t="s">
        <v>34</v>
      </c>
      <c r="Q16" s="4" t="s">
        <v>30</v>
      </c>
      <c r="R16" s="6">
        <v>23</v>
      </c>
      <c r="S16" s="7">
        <v>2</v>
      </c>
      <c r="T16" s="4" t="s">
        <v>48</v>
      </c>
      <c r="U16" s="4" t="s">
        <v>43</v>
      </c>
      <c r="V16" s="8" t="s">
        <v>61</v>
      </c>
    </row>
    <row r="17" spans="1:22" x14ac:dyDescent="0.25">
      <c r="A17" s="2" t="s">
        <v>83</v>
      </c>
      <c r="B17" s="3">
        <v>46153</v>
      </c>
      <c r="C17" s="4" t="s">
        <v>23</v>
      </c>
      <c r="D17" s="4" t="s">
        <v>24</v>
      </c>
      <c r="E17" s="4" t="s">
        <v>39</v>
      </c>
      <c r="F17" s="4" t="s">
        <v>84</v>
      </c>
      <c r="G17" s="4" t="s">
        <v>27</v>
      </c>
      <c r="H17" s="4" t="s">
        <v>28</v>
      </c>
      <c r="I17" s="4" t="s">
        <v>29</v>
      </c>
      <c r="J17" s="4" t="s">
        <v>30</v>
      </c>
      <c r="K17" s="4" t="s">
        <v>31</v>
      </c>
      <c r="L17" s="4" t="s">
        <v>45</v>
      </c>
      <c r="M17" s="5">
        <v>2.6</v>
      </c>
      <c r="N17" s="6">
        <v>32</v>
      </c>
      <c r="O17" s="4" t="s">
        <v>46</v>
      </c>
      <c r="P17" s="4" t="s">
        <v>34</v>
      </c>
      <c r="Q17" s="4" t="s">
        <v>30</v>
      </c>
      <c r="R17" s="6">
        <v>17</v>
      </c>
      <c r="S17" s="7">
        <v>4</v>
      </c>
      <c r="T17" s="4" t="s">
        <v>60</v>
      </c>
      <c r="U17" s="4" t="s">
        <v>43</v>
      </c>
      <c r="V17" s="8" t="s">
        <v>49</v>
      </c>
    </row>
    <row r="18" spans="1:22" x14ac:dyDescent="0.25">
      <c r="A18" s="2" t="s">
        <v>85</v>
      </c>
      <c r="B18" s="3">
        <v>46148</v>
      </c>
      <c r="C18" s="4" t="s">
        <v>23</v>
      </c>
      <c r="D18" s="4" t="s">
        <v>24</v>
      </c>
      <c r="E18" s="4" t="s">
        <v>25</v>
      </c>
      <c r="F18" s="4" t="s">
        <v>86</v>
      </c>
      <c r="G18" s="4" t="s">
        <v>27</v>
      </c>
      <c r="H18" s="4" t="s">
        <v>42</v>
      </c>
      <c r="I18" s="4" t="s">
        <v>87</v>
      </c>
      <c r="J18" s="4" t="s">
        <v>43</v>
      </c>
      <c r="K18" s="4" t="s">
        <v>44</v>
      </c>
      <c r="L18" s="4" t="s">
        <v>45</v>
      </c>
      <c r="M18" s="5">
        <v>0.8</v>
      </c>
      <c r="N18" s="6">
        <v>17</v>
      </c>
      <c r="O18" s="4" t="s">
        <v>46</v>
      </c>
      <c r="P18" s="4" t="s">
        <v>34</v>
      </c>
      <c r="Q18" s="4" t="s">
        <v>30</v>
      </c>
      <c r="R18" s="6">
        <v>29</v>
      </c>
      <c r="S18" s="7">
        <v>4</v>
      </c>
      <c r="T18" s="4" t="s">
        <v>60</v>
      </c>
      <c r="U18" s="4" t="s">
        <v>43</v>
      </c>
      <c r="V18" s="8" t="s">
        <v>37</v>
      </c>
    </row>
    <row r="19" spans="1:22" x14ac:dyDescent="0.25">
      <c r="A19" s="2" t="s">
        <v>88</v>
      </c>
      <c r="B19" s="3">
        <v>46161</v>
      </c>
      <c r="C19" s="4" t="s">
        <v>23</v>
      </c>
      <c r="D19" s="4" t="s">
        <v>24</v>
      </c>
      <c r="E19" s="4" t="s">
        <v>39</v>
      </c>
      <c r="F19" s="4" t="s">
        <v>84</v>
      </c>
      <c r="G19" s="4" t="s">
        <v>41</v>
      </c>
      <c r="H19" s="4" t="s">
        <v>28</v>
      </c>
      <c r="I19" s="4" t="s">
        <v>89</v>
      </c>
      <c r="J19" s="4" t="s">
        <v>30</v>
      </c>
      <c r="K19" s="4" t="s">
        <v>53</v>
      </c>
      <c r="L19" s="4" t="s">
        <v>45</v>
      </c>
      <c r="M19" s="5">
        <v>0.8</v>
      </c>
      <c r="N19" s="6">
        <v>18</v>
      </c>
      <c r="O19" s="4" t="s">
        <v>75</v>
      </c>
      <c r="P19" s="4" t="s">
        <v>34</v>
      </c>
      <c r="Q19" s="4" t="s">
        <v>43</v>
      </c>
      <c r="R19" s="6">
        <v>76</v>
      </c>
      <c r="S19" s="7">
        <v>3</v>
      </c>
      <c r="T19" s="4" t="s">
        <v>35</v>
      </c>
      <c r="U19" s="4" t="s">
        <v>36</v>
      </c>
      <c r="V19" s="8" t="s">
        <v>63</v>
      </c>
    </row>
    <row r="20" spans="1:22" x14ac:dyDescent="0.25">
      <c r="A20" s="2" t="s">
        <v>90</v>
      </c>
      <c r="B20" s="3">
        <v>46167</v>
      </c>
      <c r="C20" s="4" t="s">
        <v>23</v>
      </c>
      <c r="D20" s="4" t="s">
        <v>24</v>
      </c>
      <c r="E20" s="4" t="s">
        <v>39</v>
      </c>
      <c r="F20" s="4" t="s">
        <v>51</v>
      </c>
      <c r="G20" s="4" t="s">
        <v>27</v>
      </c>
      <c r="H20" s="4" t="s">
        <v>28</v>
      </c>
      <c r="I20" s="4" t="s">
        <v>52</v>
      </c>
      <c r="J20" s="4" t="s">
        <v>30</v>
      </c>
      <c r="K20" s="4" t="s">
        <v>31</v>
      </c>
      <c r="L20" s="4" t="s">
        <v>82</v>
      </c>
      <c r="M20" s="5">
        <v>3.4</v>
      </c>
      <c r="N20" s="6">
        <v>43</v>
      </c>
      <c r="O20" s="4" t="s">
        <v>59</v>
      </c>
      <c r="P20" s="4" t="s">
        <v>34</v>
      </c>
      <c r="Q20" s="4" t="s">
        <v>30</v>
      </c>
      <c r="R20" s="6">
        <v>19</v>
      </c>
      <c r="S20" s="7">
        <v>3</v>
      </c>
      <c r="T20" s="4" t="s">
        <v>35</v>
      </c>
      <c r="U20" s="4" t="s">
        <v>36</v>
      </c>
      <c r="V20" s="8" t="s">
        <v>37</v>
      </c>
    </row>
    <row r="21" spans="1:22" x14ac:dyDescent="0.25">
      <c r="A21" s="2" t="s">
        <v>91</v>
      </c>
      <c r="B21" s="3">
        <v>46161</v>
      </c>
      <c r="C21" s="4" t="s">
        <v>23</v>
      </c>
      <c r="D21" s="4" t="s">
        <v>24</v>
      </c>
      <c r="E21" s="4" t="s">
        <v>25</v>
      </c>
      <c r="F21" s="4" t="s">
        <v>26</v>
      </c>
      <c r="G21" s="4" t="s">
        <v>41</v>
      </c>
      <c r="H21" s="4" t="s">
        <v>28</v>
      </c>
      <c r="I21" s="4" t="s">
        <v>52</v>
      </c>
      <c r="J21" s="4" t="s">
        <v>30</v>
      </c>
      <c r="K21" s="4" t="s">
        <v>31</v>
      </c>
      <c r="L21" s="4" t="s">
        <v>80</v>
      </c>
      <c r="M21" s="5">
        <v>3.7</v>
      </c>
      <c r="N21" s="6">
        <v>60</v>
      </c>
      <c r="O21" s="4" t="s">
        <v>59</v>
      </c>
      <c r="P21" s="4" t="s">
        <v>34</v>
      </c>
      <c r="Q21" s="4" t="s">
        <v>30</v>
      </c>
      <c r="R21" s="6">
        <v>43</v>
      </c>
      <c r="S21" s="7">
        <v>2</v>
      </c>
      <c r="T21" s="4" t="s">
        <v>48</v>
      </c>
      <c r="U21" s="4" t="s">
        <v>36</v>
      </c>
      <c r="V21" s="8" t="s">
        <v>37</v>
      </c>
    </row>
    <row r="22" spans="1:22" x14ac:dyDescent="0.25">
      <c r="A22" s="2" t="s">
        <v>92</v>
      </c>
      <c r="B22" s="3">
        <v>46155</v>
      </c>
      <c r="C22" s="4" t="s">
        <v>23</v>
      </c>
      <c r="D22" s="4" t="s">
        <v>24</v>
      </c>
      <c r="E22" s="4" t="s">
        <v>25</v>
      </c>
      <c r="F22" s="4" t="s">
        <v>84</v>
      </c>
      <c r="G22" s="4" t="s">
        <v>27</v>
      </c>
      <c r="H22" s="4" t="s">
        <v>28</v>
      </c>
      <c r="I22" s="4" t="s">
        <v>29</v>
      </c>
      <c r="J22" s="4" t="s">
        <v>30</v>
      </c>
      <c r="K22" s="4" t="s">
        <v>53</v>
      </c>
      <c r="L22" s="4" t="s">
        <v>65</v>
      </c>
      <c r="M22" s="5">
        <v>2.4</v>
      </c>
      <c r="N22" s="6">
        <v>33</v>
      </c>
      <c r="O22" s="4" t="s">
        <v>46</v>
      </c>
      <c r="P22" s="4" t="s">
        <v>34</v>
      </c>
      <c r="Q22" s="4" t="s">
        <v>30</v>
      </c>
      <c r="R22" s="6">
        <v>48</v>
      </c>
      <c r="S22" s="7">
        <v>3</v>
      </c>
      <c r="T22" s="4" t="s">
        <v>35</v>
      </c>
      <c r="U22" s="4" t="s">
        <v>43</v>
      </c>
      <c r="V22" s="8" t="s">
        <v>63</v>
      </c>
    </row>
    <row r="23" spans="1:22" x14ac:dyDescent="0.25">
      <c r="A23" s="2" t="s">
        <v>93</v>
      </c>
      <c r="B23" s="3">
        <v>46160</v>
      </c>
      <c r="C23" s="4" t="s">
        <v>23</v>
      </c>
      <c r="D23" s="4" t="s">
        <v>24</v>
      </c>
      <c r="E23" s="4" t="s">
        <v>25</v>
      </c>
      <c r="F23" s="4" t="s">
        <v>94</v>
      </c>
      <c r="G23" s="4" t="s">
        <v>27</v>
      </c>
      <c r="H23" s="4" t="s">
        <v>42</v>
      </c>
      <c r="I23" s="4" t="s">
        <v>87</v>
      </c>
      <c r="J23" s="4" t="s">
        <v>43</v>
      </c>
      <c r="K23" s="4" t="s">
        <v>31</v>
      </c>
      <c r="L23" s="4" t="s">
        <v>82</v>
      </c>
      <c r="M23" s="5">
        <v>0.9</v>
      </c>
      <c r="N23" s="6">
        <v>22</v>
      </c>
      <c r="O23" s="4" t="s">
        <v>75</v>
      </c>
      <c r="P23" s="4" t="s">
        <v>66</v>
      </c>
      <c r="Q23" s="4" t="s">
        <v>30</v>
      </c>
      <c r="R23" s="6">
        <v>36</v>
      </c>
      <c r="S23" s="7">
        <v>4</v>
      </c>
      <c r="T23" s="4" t="s">
        <v>60</v>
      </c>
      <c r="U23" s="4" t="s">
        <v>43</v>
      </c>
      <c r="V23" s="8" t="s">
        <v>49</v>
      </c>
    </row>
    <row r="24" spans="1:22" x14ac:dyDescent="0.25">
      <c r="A24" s="2" t="s">
        <v>95</v>
      </c>
      <c r="B24" s="3">
        <v>46153</v>
      </c>
      <c r="C24" s="4" t="s">
        <v>23</v>
      </c>
      <c r="D24" s="4" t="s">
        <v>24</v>
      </c>
      <c r="E24" s="4" t="s">
        <v>25</v>
      </c>
      <c r="F24" s="4" t="s">
        <v>84</v>
      </c>
      <c r="G24" s="4" t="s">
        <v>27</v>
      </c>
      <c r="H24" s="4" t="s">
        <v>28</v>
      </c>
      <c r="I24" s="4" t="s">
        <v>29</v>
      </c>
      <c r="J24" s="4" t="s">
        <v>30</v>
      </c>
      <c r="K24" s="4" t="s">
        <v>53</v>
      </c>
      <c r="L24" s="4" t="s">
        <v>54</v>
      </c>
      <c r="M24" s="5">
        <v>1.6</v>
      </c>
      <c r="N24" s="6">
        <v>21</v>
      </c>
      <c r="O24" s="4" t="s">
        <v>55</v>
      </c>
      <c r="P24" s="4"/>
      <c r="Q24" s="4" t="s">
        <v>30</v>
      </c>
      <c r="R24" s="6">
        <v>28</v>
      </c>
      <c r="S24" s="7">
        <v>5</v>
      </c>
      <c r="T24" s="4" t="s">
        <v>68</v>
      </c>
      <c r="U24" s="4" t="s">
        <v>43</v>
      </c>
      <c r="V24" s="8" t="s">
        <v>61</v>
      </c>
    </row>
    <row r="25" spans="1:22" x14ac:dyDescent="0.25">
      <c r="A25" s="2" t="s">
        <v>96</v>
      </c>
      <c r="B25" s="3">
        <v>46147</v>
      </c>
      <c r="C25" s="4" t="s">
        <v>23</v>
      </c>
      <c r="D25" s="4" t="s">
        <v>24</v>
      </c>
      <c r="E25" s="4" t="s">
        <v>25</v>
      </c>
      <c r="F25" s="4" t="s">
        <v>26</v>
      </c>
      <c r="G25" s="4" t="s">
        <v>27</v>
      </c>
      <c r="H25" s="4" t="s">
        <v>28</v>
      </c>
      <c r="I25" s="4" t="s">
        <v>52</v>
      </c>
      <c r="J25" s="4" t="s">
        <v>30</v>
      </c>
      <c r="K25" s="4" t="s">
        <v>70</v>
      </c>
      <c r="L25" s="4" t="s">
        <v>45</v>
      </c>
      <c r="M25" s="5">
        <v>1</v>
      </c>
      <c r="N25" s="6">
        <v>27</v>
      </c>
      <c r="O25" s="4" t="s">
        <v>55</v>
      </c>
      <c r="P25" s="4" t="s">
        <v>34</v>
      </c>
      <c r="Q25" s="4" t="s">
        <v>30</v>
      </c>
      <c r="R25" s="6">
        <v>24</v>
      </c>
      <c r="S25" s="7">
        <v>3</v>
      </c>
      <c r="T25" s="4" t="s">
        <v>35</v>
      </c>
      <c r="U25" s="4" t="s">
        <v>43</v>
      </c>
      <c r="V25" s="8" t="s">
        <v>49</v>
      </c>
    </row>
    <row r="26" spans="1:22" x14ac:dyDescent="0.25">
      <c r="A26" s="2" t="s">
        <v>97</v>
      </c>
      <c r="B26" s="3">
        <v>46160</v>
      </c>
      <c r="C26" s="4" t="s">
        <v>23</v>
      </c>
      <c r="D26" s="4" t="s">
        <v>24</v>
      </c>
      <c r="E26" s="4" t="s">
        <v>25</v>
      </c>
      <c r="F26" s="4" t="s">
        <v>84</v>
      </c>
      <c r="G26" s="4" t="s">
        <v>41</v>
      </c>
      <c r="H26" s="4" t="s">
        <v>28</v>
      </c>
      <c r="I26" s="4" t="s">
        <v>52</v>
      </c>
      <c r="J26" s="4" t="s">
        <v>30</v>
      </c>
      <c r="K26" s="4" t="s">
        <v>53</v>
      </c>
      <c r="L26" s="4" t="s">
        <v>54</v>
      </c>
      <c r="M26" s="5">
        <v>8.1999999999999993</v>
      </c>
      <c r="N26" s="6">
        <v>92</v>
      </c>
      <c r="O26" s="4" t="s">
        <v>55</v>
      </c>
      <c r="P26" s="4" t="s">
        <v>34</v>
      </c>
      <c r="Q26" s="4" t="s">
        <v>30</v>
      </c>
      <c r="R26" s="6">
        <v>76</v>
      </c>
      <c r="S26" s="7">
        <v>3</v>
      </c>
      <c r="T26" s="4" t="s">
        <v>35</v>
      </c>
      <c r="U26" s="4" t="s">
        <v>43</v>
      </c>
      <c r="V26" s="8" t="s">
        <v>49</v>
      </c>
    </row>
    <row r="27" spans="1:22" x14ac:dyDescent="0.25">
      <c r="A27" s="2" t="s">
        <v>98</v>
      </c>
      <c r="B27" s="3">
        <v>46154</v>
      </c>
      <c r="C27" s="4" t="s">
        <v>23</v>
      </c>
      <c r="D27" s="4" t="s">
        <v>24</v>
      </c>
      <c r="E27" s="4" t="s">
        <v>25</v>
      </c>
      <c r="F27" s="4" t="s">
        <v>40</v>
      </c>
      <c r="G27" s="4" t="s">
        <v>41</v>
      </c>
      <c r="H27" s="4" t="s">
        <v>28</v>
      </c>
      <c r="I27" s="4" t="s">
        <v>29</v>
      </c>
      <c r="J27" s="4" t="s">
        <v>30</v>
      </c>
      <c r="K27" s="4" t="s">
        <v>53</v>
      </c>
      <c r="L27" s="4" t="s">
        <v>45</v>
      </c>
      <c r="M27" s="5">
        <v>4.3</v>
      </c>
      <c r="N27" s="6">
        <v>39</v>
      </c>
      <c r="O27" s="4" t="s">
        <v>57</v>
      </c>
      <c r="P27" s="4" t="s">
        <v>34</v>
      </c>
      <c r="Q27" s="4" t="s">
        <v>30</v>
      </c>
      <c r="R27" s="6">
        <v>54</v>
      </c>
      <c r="S27" s="7">
        <v>3</v>
      </c>
      <c r="T27" s="4" t="s">
        <v>48</v>
      </c>
      <c r="U27" s="4" t="s">
        <v>36</v>
      </c>
      <c r="V27" s="8" t="s">
        <v>49</v>
      </c>
    </row>
    <row r="28" spans="1:22" x14ac:dyDescent="0.25">
      <c r="A28" s="2" t="s">
        <v>99</v>
      </c>
      <c r="B28" s="3">
        <v>46148</v>
      </c>
      <c r="C28" s="4" t="s">
        <v>23</v>
      </c>
      <c r="D28" s="4" t="s">
        <v>24</v>
      </c>
      <c r="E28" s="4" t="s">
        <v>39</v>
      </c>
      <c r="F28" s="4" t="s">
        <v>26</v>
      </c>
      <c r="G28" s="4" t="s">
        <v>41</v>
      </c>
      <c r="H28" s="4" t="s">
        <v>28</v>
      </c>
      <c r="I28" s="4" t="s">
        <v>52</v>
      </c>
      <c r="J28" s="4" t="s">
        <v>30</v>
      </c>
      <c r="K28" s="4" t="s">
        <v>70</v>
      </c>
      <c r="L28" s="4" t="s">
        <v>32</v>
      </c>
      <c r="M28" s="5">
        <v>0.8</v>
      </c>
      <c r="N28" s="6">
        <v>23</v>
      </c>
      <c r="O28" s="4" t="s">
        <v>46</v>
      </c>
      <c r="P28" s="4" t="s">
        <v>66</v>
      </c>
      <c r="Q28" s="4" t="s">
        <v>30</v>
      </c>
      <c r="R28" s="6">
        <v>75</v>
      </c>
      <c r="S28" s="7">
        <v>1</v>
      </c>
      <c r="T28" s="4" t="s">
        <v>48</v>
      </c>
      <c r="U28" s="4" t="s">
        <v>43</v>
      </c>
      <c r="V28" s="8" t="s">
        <v>37</v>
      </c>
    </row>
    <row r="29" spans="1:22" x14ac:dyDescent="0.25">
      <c r="A29" s="2" t="s">
        <v>100</v>
      </c>
      <c r="B29" s="3">
        <v>46146</v>
      </c>
      <c r="C29" s="4" t="s">
        <v>23</v>
      </c>
      <c r="D29" s="4" t="s">
        <v>24</v>
      </c>
      <c r="E29" s="4" t="s">
        <v>25</v>
      </c>
      <c r="F29" s="4" t="s">
        <v>94</v>
      </c>
      <c r="G29" s="4" t="s">
        <v>27</v>
      </c>
      <c r="H29" s="4" t="s">
        <v>42</v>
      </c>
      <c r="I29" s="4" t="s">
        <v>29</v>
      </c>
      <c r="J29" s="4" t="s">
        <v>30</v>
      </c>
      <c r="K29" s="4" t="s">
        <v>53</v>
      </c>
      <c r="L29" s="4" t="s">
        <v>65</v>
      </c>
      <c r="M29" s="5">
        <v>4.3</v>
      </c>
      <c r="N29" s="6">
        <v>45</v>
      </c>
      <c r="O29" s="4" t="s">
        <v>55</v>
      </c>
      <c r="P29" s="4" t="s">
        <v>34</v>
      </c>
      <c r="Q29" s="4" t="s">
        <v>43</v>
      </c>
      <c r="R29" s="6">
        <v>41</v>
      </c>
      <c r="S29" s="7">
        <v>4</v>
      </c>
      <c r="T29" s="4" t="s">
        <v>60</v>
      </c>
      <c r="U29" s="4" t="s">
        <v>36</v>
      </c>
      <c r="V29" s="8" t="s">
        <v>49</v>
      </c>
    </row>
    <row r="30" spans="1:22" x14ac:dyDescent="0.25">
      <c r="A30" s="2" t="s">
        <v>101</v>
      </c>
      <c r="B30" s="3">
        <v>46155</v>
      </c>
      <c r="C30" s="4" t="s">
        <v>23</v>
      </c>
      <c r="D30" s="4" t="s">
        <v>24</v>
      </c>
      <c r="E30" s="4" t="s">
        <v>25</v>
      </c>
      <c r="F30" s="4" t="s">
        <v>26</v>
      </c>
      <c r="G30" s="4" t="s">
        <v>27</v>
      </c>
      <c r="H30" s="4" t="s">
        <v>28</v>
      </c>
      <c r="I30" s="4" t="s">
        <v>52</v>
      </c>
      <c r="J30" s="4" t="s">
        <v>30</v>
      </c>
      <c r="K30" s="4" t="s">
        <v>31</v>
      </c>
      <c r="L30" s="4" t="s">
        <v>45</v>
      </c>
      <c r="M30" s="5">
        <v>3.4</v>
      </c>
      <c r="N30" s="6">
        <v>42</v>
      </c>
      <c r="O30" s="4" t="s">
        <v>75</v>
      </c>
      <c r="P30" s="4" t="s">
        <v>34</v>
      </c>
      <c r="Q30" s="4" t="s">
        <v>30</v>
      </c>
      <c r="R30" s="6">
        <v>48</v>
      </c>
      <c r="S30" s="7">
        <v>3</v>
      </c>
      <c r="T30" s="4" t="s">
        <v>48</v>
      </c>
      <c r="U30" s="4" t="s">
        <v>30</v>
      </c>
      <c r="V30" s="8" t="s">
        <v>63</v>
      </c>
    </row>
    <row r="31" spans="1:22" x14ac:dyDescent="0.25">
      <c r="A31" s="9" t="s">
        <v>102</v>
      </c>
      <c r="B31" s="10">
        <v>46161</v>
      </c>
      <c r="C31" s="11" t="s">
        <v>23</v>
      </c>
      <c r="D31" s="11" t="s">
        <v>24</v>
      </c>
      <c r="E31" s="11" t="s">
        <v>39</v>
      </c>
      <c r="F31" s="11" t="s">
        <v>84</v>
      </c>
      <c r="G31" s="11" t="s">
        <v>27</v>
      </c>
      <c r="H31" s="11" t="s">
        <v>28</v>
      </c>
      <c r="I31" s="11" t="s">
        <v>52</v>
      </c>
      <c r="J31" s="11" t="s">
        <v>30</v>
      </c>
      <c r="K31" s="11" t="s">
        <v>44</v>
      </c>
      <c r="L31" s="11" t="s">
        <v>45</v>
      </c>
      <c r="M31" s="12">
        <v>2.1</v>
      </c>
      <c r="N31" s="13">
        <v>40</v>
      </c>
      <c r="O31" s="11" t="s">
        <v>46</v>
      </c>
      <c r="P31" s="11" t="s">
        <v>34</v>
      </c>
      <c r="Q31" s="11" t="s">
        <v>30</v>
      </c>
      <c r="R31" s="13">
        <v>42</v>
      </c>
      <c r="S31" s="14">
        <v>4</v>
      </c>
      <c r="T31" s="11" t="s">
        <v>60</v>
      </c>
      <c r="U31" s="11" t="s">
        <v>43</v>
      </c>
      <c r="V31" s="1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73A8-8F18-416C-A09A-0181D54E37AC}">
  <dimension ref="A3:K185"/>
  <sheetViews>
    <sheetView tabSelected="1" workbookViewId="0">
      <selection activeCell="D171" sqref="D171"/>
    </sheetView>
  </sheetViews>
  <sheetFormatPr defaultRowHeight="15" x14ac:dyDescent="0.25"/>
  <cols>
    <col min="1" max="1" width="18.42578125" bestFit="1" customWidth="1"/>
    <col min="2" max="2" width="20.5703125" bestFit="1" customWidth="1"/>
    <col min="3" max="3" width="11" bestFit="1" customWidth="1"/>
    <col min="4" max="4" width="34.85546875" bestFit="1" customWidth="1"/>
    <col min="5" max="5" width="14.28515625" bestFit="1" customWidth="1"/>
    <col min="6" max="6" width="20.5703125" bestFit="1" customWidth="1"/>
    <col min="7" max="7" width="11" bestFit="1" customWidth="1"/>
    <col min="9" max="9" width="23.85546875" bestFit="1" customWidth="1"/>
    <col min="10" max="10" width="20.5703125" bestFit="1" customWidth="1"/>
    <col min="11" max="11" width="11" bestFit="1" customWidth="1"/>
  </cols>
  <sheetData>
    <row r="3" spans="1:7" x14ac:dyDescent="0.25">
      <c r="A3" t="s">
        <v>103</v>
      </c>
      <c r="E3" s="16" t="s">
        <v>106</v>
      </c>
      <c r="F3" t="s">
        <v>103</v>
      </c>
      <c r="G3" t="s">
        <v>111</v>
      </c>
    </row>
    <row r="4" spans="1:7" x14ac:dyDescent="0.25">
      <c r="A4">
        <v>30</v>
      </c>
      <c r="E4" s="17" t="s">
        <v>27</v>
      </c>
      <c r="F4">
        <v>16</v>
      </c>
      <c r="G4" s="20">
        <v>0.53333333333333333</v>
      </c>
    </row>
    <row r="5" spans="1:7" x14ac:dyDescent="0.25">
      <c r="E5" s="18" t="s">
        <v>25</v>
      </c>
      <c r="F5">
        <v>10</v>
      </c>
      <c r="G5" s="20">
        <v>0.33333333333333331</v>
      </c>
    </row>
    <row r="6" spans="1:7" x14ac:dyDescent="0.25">
      <c r="A6" s="16" t="s">
        <v>4</v>
      </c>
      <c r="B6" t="s">
        <v>103</v>
      </c>
      <c r="C6" t="s">
        <v>111</v>
      </c>
      <c r="E6" s="18" t="s">
        <v>39</v>
      </c>
      <c r="F6">
        <v>6</v>
      </c>
      <c r="G6" s="20">
        <v>0.2</v>
      </c>
    </row>
    <row r="7" spans="1:7" x14ac:dyDescent="0.25">
      <c r="A7" s="17" t="s">
        <v>25</v>
      </c>
      <c r="B7">
        <v>15</v>
      </c>
      <c r="C7" s="20">
        <v>0.5</v>
      </c>
      <c r="E7" s="17" t="s">
        <v>41</v>
      </c>
      <c r="F7">
        <v>14</v>
      </c>
      <c r="G7" s="20">
        <v>0.46666666666666667</v>
      </c>
    </row>
    <row r="8" spans="1:7" x14ac:dyDescent="0.25">
      <c r="A8" s="17" t="s">
        <v>39</v>
      </c>
      <c r="B8">
        <v>15</v>
      </c>
      <c r="C8" s="20">
        <v>0.5</v>
      </c>
      <c r="E8" s="18" t="s">
        <v>25</v>
      </c>
      <c r="F8">
        <v>5</v>
      </c>
      <c r="G8" s="20">
        <v>0.16666666666666666</v>
      </c>
    </row>
    <row r="9" spans="1:7" x14ac:dyDescent="0.25">
      <c r="A9" s="17" t="s">
        <v>104</v>
      </c>
      <c r="B9">
        <v>30</v>
      </c>
      <c r="C9" s="20">
        <v>1</v>
      </c>
      <c r="E9" s="18" t="s">
        <v>39</v>
      </c>
      <c r="F9">
        <v>9</v>
      </c>
      <c r="G9" s="20">
        <v>0.3</v>
      </c>
    </row>
    <row r="10" spans="1:7" x14ac:dyDescent="0.25">
      <c r="E10" s="17" t="s">
        <v>104</v>
      </c>
      <c r="F10">
        <v>30</v>
      </c>
      <c r="G10" s="20">
        <v>1</v>
      </c>
    </row>
    <row r="11" spans="1:7" x14ac:dyDescent="0.25">
      <c r="A11" s="16" t="s">
        <v>105</v>
      </c>
      <c r="B11" t="s">
        <v>103</v>
      </c>
      <c r="C11" t="s">
        <v>111</v>
      </c>
      <c r="E11" s="16" t="s">
        <v>105</v>
      </c>
      <c r="F11" t="s">
        <v>103</v>
      </c>
      <c r="G11" t="s">
        <v>111</v>
      </c>
    </row>
    <row r="12" spans="1:7" x14ac:dyDescent="0.25">
      <c r="A12" s="17" t="s">
        <v>40</v>
      </c>
      <c r="B12">
        <v>2</v>
      </c>
      <c r="C12" s="20">
        <v>6.6666666666666666E-2</v>
      </c>
      <c r="E12" s="17" t="s">
        <v>40</v>
      </c>
      <c r="F12">
        <v>2</v>
      </c>
      <c r="G12" s="20">
        <v>6.6666666666666666E-2</v>
      </c>
    </row>
    <row r="13" spans="1:7" x14ac:dyDescent="0.25">
      <c r="A13" s="17" t="s">
        <v>51</v>
      </c>
      <c r="B13">
        <v>7</v>
      </c>
      <c r="C13" s="20">
        <v>0.23333333333333334</v>
      </c>
      <c r="E13" s="18" t="s">
        <v>25</v>
      </c>
      <c r="F13">
        <v>1</v>
      </c>
      <c r="G13" s="20">
        <v>3.3333333333333333E-2</v>
      </c>
    </row>
    <row r="14" spans="1:7" x14ac:dyDescent="0.25">
      <c r="A14" s="17" t="s">
        <v>94</v>
      </c>
      <c r="B14">
        <v>2</v>
      </c>
      <c r="C14" s="20">
        <v>6.6666666666666666E-2</v>
      </c>
      <c r="E14" s="18" t="s">
        <v>39</v>
      </c>
      <c r="F14">
        <v>1</v>
      </c>
      <c r="G14" s="20">
        <v>3.3333333333333333E-2</v>
      </c>
    </row>
    <row r="15" spans="1:7" x14ac:dyDescent="0.25">
      <c r="A15" s="17" t="s">
        <v>86</v>
      </c>
      <c r="B15">
        <v>1</v>
      </c>
      <c r="C15" s="20">
        <v>3.3333333333333333E-2</v>
      </c>
      <c r="E15" s="17" t="s">
        <v>51</v>
      </c>
      <c r="F15">
        <v>7</v>
      </c>
      <c r="G15" s="20">
        <v>0.23333333333333334</v>
      </c>
    </row>
    <row r="16" spans="1:7" x14ac:dyDescent="0.25">
      <c r="A16" s="17" t="s">
        <v>84</v>
      </c>
      <c r="B16">
        <v>6</v>
      </c>
      <c r="C16" s="20">
        <v>0.2</v>
      </c>
      <c r="E16" s="18" t="s">
        <v>25</v>
      </c>
      <c r="F16">
        <v>2</v>
      </c>
      <c r="G16" s="20">
        <v>6.6666666666666666E-2</v>
      </c>
    </row>
    <row r="17" spans="1:11" x14ac:dyDescent="0.25">
      <c r="A17" s="17" t="s">
        <v>26</v>
      </c>
      <c r="B17">
        <v>12</v>
      </c>
      <c r="C17" s="20">
        <v>0.4</v>
      </c>
      <c r="E17" s="18" t="s">
        <v>39</v>
      </c>
      <c r="F17">
        <v>5</v>
      </c>
      <c r="G17" s="20">
        <v>0.16666666666666666</v>
      </c>
    </row>
    <row r="18" spans="1:11" x14ac:dyDescent="0.25">
      <c r="A18" s="17" t="s">
        <v>104</v>
      </c>
      <c r="B18">
        <v>30</v>
      </c>
      <c r="C18" s="20">
        <v>1</v>
      </c>
      <c r="E18" s="17" t="s">
        <v>94</v>
      </c>
      <c r="F18">
        <v>2</v>
      </c>
      <c r="G18" s="20">
        <v>6.6666666666666666E-2</v>
      </c>
    </row>
    <row r="19" spans="1:11" x14ac:dyDescent="0.25">
      <c r="E19" s="18" t="s">
        <v>25</v>
      </c>
      <c r="F19">
        <v>2</v>
      </c>
      <c r="G19" s="20">
        <v>6.6666666666666666E-2</v>
      </c>
    </row>
    <row r="20" spans="1:11" x14ac:dyDescent="0.25">
      <c r="A20" s="16" t="s">
        <v>106</v>
      </c>
      <c r="B20" t="s">
        <v>103</v>
      </c>
      <c r="C20" t="s">
        <v>111</v>
      </c>
      <c r="E20" s="17" t="s">
        <v>86</v>
      </c>
      <c r="F20">
        <v>1</v>
      </c>
      <c r="G20" s="20">
        <v>3.3333333333333333E-2</v>
      </c>
    </row>
    <row r="21" spans="1:11" x14ac:dyDescent="0.25">
      <c r="A21" s="17" t="s">
        <v>27</v>
      </c>
      <c r="B21">
        <v>16</v>
      </c>
      <c r="C21" s="20">
        <v>0.53333333333333333</v>
      </c>
      <c r="E21" s="18" t="s">
        <v>25</v>
      </c>
      <c r="F21">
        <v>1</v>
      </c>
      <c r="G21" s="20">
        <v>3.3333333333333333E-2</v>
      </c>
    </row>
    <row r="22" spans="1:11" x14ac:dyDescent="0.25">
      <c r="A22" s="17" t="s">
        <v>41</v>
      </c>
      <c r="B22">
        <v>14</v>
      </c>
      <c r="C22" s="20">
        <v>0.46666666666666667</v>
      </c>
      <c r="E22" s="17" t="s">
        <v>84</v>
      </c>
      <c r="F22">
        <v>6</v>
      </c>
      <c r="G22" s="20">
        <v>0.2</v>
      </c>
    </row>
    <row r="23" spans="1:11" x14ac:dyDescent="0.25">
      <c r="A23" s="17" t="s">
        <v>104</v>
      </c>
      <c r="B23">
        <v>30</v>
      </c>
      <c r="C23" s="20">
        <v>1</v>
      </c>
      <c r="E23" s="18" t="s">
        <v>25</v>
      </c>
      <c r="F23">
        <v>3</v>
      </c>
      <c r="G23" s="20">
        <v>0.1</v>
      </c>
    </row>
    <row r="24" spans="1:11" x14ac:dyDescent="0.25">
      <c r="E24" s="18" t="s">
        <v>39</v>
      </c>
      <c r="F24">
        <v>3</v>
      </c>
      <c r="G24" s="20">
        <v>0.1</v>
      </c>
    </row>
    <row r="25" spans="1:11" x14ac:dyDescent="0.25">
      <c r="A25" s="16" t="s">
        <v>107</v>
      </c>
      <c r="B25" t="s">
        <v>103</v>
      </c>
      <c r="C25" t="s">
        <v>111</v>
      </c>
      <c r="E25" s="17" t="s">
        <v>26</v>
      </c>
      <c r="F25">
        <v>12</v>
      </c>
      <c r="G25" s="20">
        <v>0.4</v>
      </c>
    </row>
    <row r="26" spans="1:11" x14ac:dyDescent="0.25">
      <c r="A26" s="17" t="s">
        <v>28</v>
      </c>
      <c r="B26">
        <v>26</v>
      </c>
      <c r="C26" s="20">
        <v>0.8666666666666667</v>
      </c>
      <c r="E26" s="18" t="s">
        <v>25</v>
      </c>
      <c r="F26">
        <v>6</v>
      </c>
      <c r="G26" s="20">
        <v>0.2</v>
      </c>
    </row>
    <row r="27" spans="1:11" x14ac:dyDescent="0.25">
      <c r="A27" s="17" t="s">
        <v>42</v>
      </c>
      <c r="B27">
        <v>4</v>
      </c>
      <c r="C27" s="20">
        <v>0.13333333333333333</v>
      </c>
      <c r="E27" s="18" t="s">
        <v>39</v>
      </c>
      <c r="F27">
        <v>6</v>
      </c>
      <c r="G27" s="20">
        <v>0.2</v>
      </c>
    </row>
    <row r="28" spans="1:11" x14ac:dyDescent="0.25">
      <c r="A28" s="17" t="s">
        <v>104</v>
      </c>
      <c r="B28">
        <v>30</v>
      </c>
      <c r="C28" s="20">
        <v>1</v>
      </c>
      <c r="E28" s="17" t="s">
        <v>104</v>
      </c>
      <c r="F28">
        <v>30</v>
      </c>
      <c r="G28" s="20">
        <v>1</v>
      </c>
    </row>
    <row r="30" spans="1:11" x14ac:dyDescent="0.25">
      <c r="A30" s="16" t="s">
        <v>108</v>
      </c>
      <c r="B30" t="s">
        <v>103</v>
      </c>
      <c r="C30" t="s">
        <v>111</v>
      </c>
      <c r="E30" s="16" t="s">
        <v>107</v>
      </c>
      <c r="F30" t="s">
        <v>103</v>
      </c>
      <c r="G30" t="s">
        <v>111</v>
      </c>
      <c r="I30" s="16" t="s">
        <v>108</v>
      </c>
      <c r="J30" t="s">
        <v>103</v>
      </c>
      <c r="K30" t="s">
        <v>111</v>
      </c>
    </row>
    <row r="31" spans="1:11" x14ac:dyDescent="0.25">
      <c r="A31" s="17" t="s">
        <v>29</v>
      </c>
      <c r="B31">
        <v>11</v>
      </c>
      <c r="C31" s="20">
        <v>0.36666666666666664</v>
      </c>
      <c r="E31" s="17" t="s">
        <v>28</v>
      </c>
      <c r="F31">
        <v>26</v>
      </c>
      <c r="G31" s="20">
        <v>0.8666666666666667</v>
      </c>
      <c r="I31" s="17" t="s">
        <v>29</v>
      </c>
      <c r="J31">
        <v>11</v>
      </c>
      <c r="K31" s="20">
        <v>0.36666666666666664</v>
      </c>
    </row>
    <row r="32" spans="1:11" x14ac:dyDescent="0.25">
      <c r="A32" s="17" t="s">
        <v>87</v>
      </c>
      <c r="B32">
        <v>2</v>
      </c>
      <c r="C32" s="20">
        <v>6.6666666666666666E-2</v>
      </c>
      <c r="E32" s="18" t="s">
        <v>25</v>
      </c>
      <c r="F32">
        <v>12</v>
      </c>
      <c r="G32" s="20">
        <v>0.4</v>
      </c>
      <c r="I32" s="18" t="s">
        <v>25</v>
      </c>
      <c r="J32">
        <v>6</v>
      </c>
      <c r="K32" s="20">
        <v>0.2</v>
      </c>
    </row>
    <row r="33" spans="1:11" x14ac:dyDescent="0.25">
      <c r="A33" s="17" t="s">
        <v>89</v>
      </c>
      <c r="B33">
        <v>1</v>
      </c>
      <c r="C33" s="20">
        <v>3.3333333333333333E-2</v>
      </c>
      <c r="E33" s="18" t="s">
        <v>39</v>
      </c>
      <c r="F33">
        <v>14</v>
      </c>
      <c r="G33" s="20">
        <v>0.46666666666666667</v>
      </c>
      <c r="I33" s="18" t="s">
        <v>39</v>
      </c>
      <c r="J33">
        <v>5</v>
      </c>
      <c r="K33" s="20">
        <v>0.16666666666666666</v>
      </c>
    </row>
    <row r="34" spans="1:11" x14ac:dyDescent="0.25">
      <c r="A34" s="17" t="s">
        <v>52</v>
      </c>
      <c r="B34">
        <v>16</v>
      </c>
      <c r="C34" s="20">
        <v>0.53333333333333333</v>
      </c>
      <c r="E34" s="17" t="s">
        <v>42</v>
      </c>
      <c r="F34">
        <v>4</v>
      </c>
      <c r="G34" s="20">
        <v>0.13333333333333333</v>
      </c>
      <c r="I34" s="17" t="s">
        <v>87</v>
      </c>
      <c r="J34">
        <v>2</v>
      </c>
      <c r="K34" s="20">
        <v>6.6666666666666666E-2</v>
      </c>
    </row>
    <row r="35" spans="1:11" x14ac:dyDescent="0.25">
      <c r="A35" s="17" t="s">
        <v>104</v>
      </c>
      <c r="B35">
        <v>30</v>
      </c>
      <c r="C35" s="20">
        <v>1</v>
      </c>
      <c r="E35" s="18" t="s">
        <v>25</v>
      </c>
      <c r="F35">
        <v>3</v>
      </c>
      <c r="G35" s="20">
        <v>0.1</v>
      </c>
      <c r="I35" s="18" t="s">
        <v>25</v>
      </c>
      <c r="J35">
        <v>2</v>
      </c>
      <c r="K35" s="20">
        <v>6.6666666666666666E-2</v>
      </c>
    </row>
    <row r="36" spans="1:11" x14ac:dyDescent="0.25">
      <c r="A36" s="17"/>
      <c r="C36" s="20"/>
      <c r="E36" s="18" t="s">
        <v>39</v>
      </c>
      <c r="F36">
        <v>1</v>
      </c>
      <c r="G36" s="20">
        <v>3.3333333333333333E-2</v>
      </c>
      <c r="I36" s="17" t="s">
        <v>89</v>
      </c>
      <c r="J36">
        <v>1</v>
      </c>
      <c r="K36" s="20">
        <v>3.3333333333333333E-2</v>
      </c>
    </row>
    <row r="37" spans="1:11" x14ac:dyDescent="0.25">
      <c r="E37" s="17" t="s">
        <v>104</v>
      </c>
      <c r="F37">
        <v>30</v>
      </c>
      <c r="G37" s="20">
        <v>1</v>
      </c>
      <c r="I37" s="18" t="s">
        <v>39</v>
      </c>
      <c r="J37">
        <v>1</v>
      </c>
      <c r="K37" s="20">
        <v>3.3333333333333333E-2</v>
      </c>
    </row>
    <row r="38" spans="1:11" x14ac:dyDescent="0.25">
      <c r="A38" s="16" t="s">
        <v>109</v>
      </c>
      <c r="B38" t="s">
        <v>103</v>
      </c>
      <c r="C38" t="s">
        <v>111</v>
      </c>
      <c r="I38" s="17" t="s">
        <v>52</v>
      </c>
      <c r="J38">
        <v>16</v>
      </c>
      <c r="K38" s="20">
        <v>0.53333333333333333</v>
      </c>
    </row>
    <row r="39" spans="1:11" x14ac:dyDescent="0.25">
      <c r="A39" s="17" t="s">
        <v>30</v>
      </c>
      <c r="B39">
        <v>20</v>
      </c>
      <c r="C39" s="20">
        <v>0.66666666666666663</v>
      </c>
      <c r="I39" s="18" t="s">
        <v>25</v>
      </c>
      <c r="J39">
        <v>7</v>
      </c>
      <c r="K39" s="20">
        <v>0.23333333333333334</v>
      </c>
    </row>
    <row r="40" spans="1:11" x14ac:dyDescent="0.25">
      <c r="A40" s="18" t="s">
        <v>25</v>
      </c>
      <c r="B40">
        <v>11</v>
      </c>
      <c r="C40" s="20">
        <v>0.36666666666666664</v>
      </c>
      <c r="E40" s="16" t="s">
        <v>110</v>
      </c>
      <c r="F40" t="s">
        <v>103</v>
      </c>
      <c r="G40" t="s">
        <v>111</v>
      </c>
      <c r="I40" s="18" t="s">
        <v>39</v>
      </c>
      <c r="J40">
        <v>9</v>
      </c>
      <c r="K40" s="20">
        <v>0.3</v>
      </c>
    </row>
    <row r="41" spans="1:11" x14ac:dyDescent="0.25">
      <c r="A41" s="18" t="s">
        <v>39</v>
      </c>
      <c r="B41">
        <v>9</v>
      </c>
      <c r="C41" s="20">
        <v>0.3</v>
      </c>
      <c r="E41" s="17" t="s">
        <v>31</v>
      </c>
      <c r="F41">
        <v>9</v>
      </c>
      <c r="G41" s="20">
        <v>0.3</v>
      </c>
      <c r="I41" s="17" t="s">
        <v>104</v>
      </c>
      <c r="J41">
        <v>30</v>
      </c>
      <c r="K41" s="20">
        <v>1</v>
      </c>
    </row>
    <row r="42" spans="1:11" x14ac:dyDescent="0.25">
      <c r="A42" s="17" t="s">
        <v>43</v>
      </c>
      <c r="B42">
        <v>10</v>
      </c>
      <c r="C42" s="20">
        <v>0.33333333333333331</v>
      </c>
      <c r="E42" s="18" t="s">
        <v>25</v>
      </c>
      <c r="F42">
        <v>5</v>
      </c>
      <c r="G42" s="20">
        <v>0.16666666666666666</v>
      </c>
    </row>
    <row r="43" spans="1:11" x14ac:dyDescent="0.25">
      <c r="A43" s="18" t="s">
        <v>25</v>
      </c>
      <c r="B43">
        <v>4</v>
      </c>
      <c r="C43" s="20">
        <v>0.13333333333333333</v>
      </c>
      <c r="E43" s="18" t="s">
        <v>39</v>
      </c>
      <c r="F43">
        <v>4</v>
      </c>
      <c r="G43" s="20">
        <v>0.13333333333333333</v>
      </c>
    </row>
    <row r="44" spans="1:11" x14ac:dyDescent="0.25">
      <c r="A44" s="18" t="s">
        <v>39</v>
      </c>
      <c r="B44">
        <v>6</v>
      </c>
      <c r="C44" s="20">
        <v>0.2</v>
      </c>
      <c r="E44" s="17" t="s">
        <v>44</v>
      </c>
      <c r="F44">
        <v>10</v>
      </c>
      <c r="G44" s="20">
        <v>0.33333333333333331</v>
      </c>
    </row>
    <row r="45" spans="1:11" x14ac:dyDescent="0.25">
      <c r="A45" s="17" t="s">
        <v>104</v>
      </c>
      <c r="B45">
        <v>30</v>
      </c>
      <c r="C45" s="20">
        <v>1</v>
      </c>
      <c r="E45" s="18" t="s">
        <v>25</v>
      </c>
      <c r="F45">
        <v>3</v>
      </c>
      <c r="G45" s="20">
        <v>0.1</v>
      </c>
    </row>
    <row r="46" spans="1:11" x14ac:dyDescent="0.25">
      <c r="E46" s="18" t="s">
        <v>39</v>
      </c>
      <c r="F46">
        <v>7</v>
      </c>
      <c r="G46" s="20">
        <v>0.23333333333333334</v>
      </c>
    </row>
    <row r="47" spans="1:11" x14ac:dyDescent="0.25">
      <c r="E47" s="17" t="s">
        <v>53</v>
      </c>
      <c r="F47">
        <v>8</v>
      </c>
      <c r="G47" s="20">
        <v>0.26666666666666666</v>
      </c>
    </row>
    <row r="48" spans="1:11" x14ac:dyDescent="0.25">
      <c r="A48" s="16" t="s">
        <v>112</v>
      </c>
      <c r="B48" t="s">
        <v>103</v>
      </c>
      <c r="C48" t="s">
        <v>111</v>
      </c>
      <c r="E48" s="18" t="s">
        <v>25</v>
      </c>
      <c r="F48">
        <v>6</v>
      </c>
      <c r="G48" s="20">
        <v>0.2</v>
      </c>
    </row>
    <row r="49" spans="1:7" x14ac:dyDescent="0.25">
      <c r="A49" s="17" t="s">
        <v>45</v>
      </c>
      <c r="B49">
        <v>11</v>
      </c>
      <c r="C49" s="20">
        <v>0.36666666666666664</v>
      </c>
      <c r="E49" s="18" t="s">
        <v>39</v>
      </c>
      <c r="F49">
        <v>2</v>
      </c>
      <c r="G49" s="20">
        <v>6.6666666666666666E-2</v>
      </c>
    </row>
    <row r="50" spans="1:7" x14ac:dyDescent="0.25">
      <c r="A50" s="18" t="s">
        <v>25</v>
      </c>
      <c r="B50">
        <v>5</v>
      </c>
      <c r="C50" s="20">
        <v>0.16666666666666666</v>
      </c>
      <c r="E50" s="17" t="s">
        <v>70</v>
      </c>
      <c r="F50">
        <v>3</v>
      </c>
      <c r="G50" s="20">
        <v>0.1</v>
      </c>
    </row>
    <row r="51" spans="1:7" x14ac:dyDescent="0.25">
      <c r="A51" s="18" t="s">
        <v>39</v>
      </c>
      <c r="B51">
        <v>6</v>
      </c>
      <c r="C51" s="20">
        <v>0.2</v>
      </c>
      <c r="E51" s="18" t="s">
        <v>25</v>
      </c>
      <c r="F51">
        <v>1</v>
      </c>
      <c r="G51" s="20">
        <v>3.3333333333333333E-2</v>
      </c>
    </row>
    <row r="52" spans="1:7" x14ac:dyDescent="0.25">
      <c r="A52" s="17" t="s">
        <v>65</v>
      </c>
      <c r="B52">
        <v>4</v>
      </c>
      <c r="C52" s="20">
        <v>0.13333333333333333</v>
      </c>
      <c r="E52" s="18" t="s">
        <v>39</v>
      </c>
      <c r="F52">
        <v>2</v>
      </c>
      <c r="G52" s="20">
        <v>6.6666666666666666E-2</v>
      </c>
    </row>
    <row r="53" spans="1:7" x14ac:dyDescent="0.25">
      <c r="A53" s="18" t="s">
        <v>25</v>
      </c>
      <c r="B53">
        <v>4</v>
      </c>
      <c r="C53" s="20">
        <v>0.13333333333333333</v>
      </c>
      <c r="E53" s="17" t="s">
        <v>104</v>
      </c>
      <c r="F53">
        <v>30</v>
      </c>
      <c r="G53" s="20">
        <v>1</v>
      </c>
    </row>
    <row r="54" spans="1:7" x14ac:dyDescent="0.25">
      <c r="A54" s="17" t="s">
        <v>32</v>
      </c>
      <c r="B54">
        <v>2</v>
      </c>
      <c r="C54" s="20">
        <v>6.6666666666666666E-2</v>
      </c>
    </row>
    <row r="55" spans="1:7" x14ac:dyDescent="0.25">
      <c r="A55" s="18" t="s">
        <v>25</v>
      </c>
      <c r="B55">
        <v>1</v>
      </c>
      <c r="C55" s="20">
        <v>3.3333333333333333E-2</v>
      </c>
    </row>
    <row r="56" spans="1:7" x14ac:dyDescent="0.25">
      <c r="A56" s="18" t="s">
        <v>39</v>
      </c>
      <c r="B56">
        <v>1</v>
      </c>
      <c r="C56" s="20">
        <v>3.3333333333333333E-2</v>
      </c>
    </row>
    <row r="57" spans="1:7" x14ac:dyDescent="0.25">
      <c r="A57" s="17" t="s">
        <v>54</v>
      </c>
      <c r="B57">
        <v>7</v>
      </c>
      <c r="C57" s="20">
        <v>0.23333333333333334</v>
      </c>
    </row>
    <row r="58" spans="1:7" x14ac:dyDescent="0.25">
      <c r="A58" s="18" t="s">
        <v>25</v>
      </c>
      <c r="B58">
        <v>3</v>
      </c>
      <c r="C58" s="20">
        <v>0.1</v>
      </c>
    </row>
    <row r="59" spans="1:7" x14ac:dyDescent="0.25">
      <c r="A59" s="18" t="s">
        <v>39</v>
      </c>
      <c r="B59">
        <v>4</v>
      </c>
      <c r="C59" s="20">
        <v>0.13333333333333333</v>
      </c>
    </row>
    <row r="60" spans="1:7" x14ac:dyDescent="0.25">
      <c r="A60" s="17" t="s">
        <v>82</v>
      </c>
      <c r="B60">
        <v>3</v>
      </c>
      <c r="C60" s="20">
        <v>0.1</v>
      </c>
    </row>
    <row r="61" spans="1:7" x14ac:dyDescent="0.25">
      <c r="A61" s="18" t="s">
        <v>25</v>
      </c>
      <c r="B61">
        <v>1</v>
      </c>
      <c r="C61" s="20">
        <v>3.3333333333333333E-2</v>
      </c>
    </row>
    <row r="62" spans="1:7" x14ac:dyDescent="0.25">
      <c r="A62" s="18" t="s">
        <v>39</v>
      </c>
      <c r="B62">
        <v>2</v>
      </c>
      <c r="C62" s="20">
        <v>6.6666666666666666E-2</v>
      </c>
    </row>
    <row r="63" spans="1:7" x14ac:dyDescent="0.25">
      <c r="A63" s="17" t="s">
        <v>80</v>
      </c>
      <c r="B63">
        <v>2</v>
      </c>
      <c r="C63" s="20">
        <v>6.6666666666666666E-2</v>
      </c>
    </row>
    <row r="64" spans="1:7" x14ac:dyDescent="0.25">
      <c r="A64" s="18" t="s">
        <v>25</v>
      </c>
      <c r="B64">
        <v>1</v>
      </c>
      <c r="C64" s="20">
        <v>3.3333333333333333E-2</v>
      </c>
    </row>
    <row r="65" spans="1:3" x14ac:dyDescent="0.25">
      <c r="A65" s="18" t="s">
        <v>39</v>
      </c>
      <c r="B65">
        <v>1</v>
      </c>
      <c r="C65" s="20">
        <v>3.3333333333333333E-2</v>
      </c>
    </row>
    <row r="66" spans="1:3" x14ac:dyDescent="0.25">
      <c r="A66" s="17" t="s">
        <v>73</v>
      </c>
      <c r="B66">
        <v>1</v>
      </c>
      <c r="C66" s="20">
        <v>3.3333333333333333E-2</v>
      </c>
    </row>
    <row r="67" spans="1:3" x14ac:dyDescent="0.25">
      <c r="A67" s="18" t="s">
        <v>39</v>
      </c>
      <c r="B67">
        <v>1</v>
      </c>
      <c r="C67" s="20">
        <v>3.3333333333333333E-2</v>
      </c>
    </row>
    <row r="68" spans="1:3" x14ac:dyDescent="0.25">
      <c r="A68" s="17" t="s">
        <v>104</v>
      </c>
      <c r="B68">
        <v>30</v>
      </c>
      <c r="C68" s="20">
        <v>1</v>
      </c>
    </row>
    <row r="70" spans="1:3" x14ac:dyDescent="0.25">
      <c r="A70" s="16" t="s">
        <v>113</v>
      </c>
      <c r="B70" t="s">
        <v>103</v>
      </c>
      <c r="C70" t="s">
        <v>111</v>
      </c>
    </row>
    <row r="71" spans="1:3" x14ac:dyDescent="0.25">
      <c r="A71" s="17" t="s">
        <v>77</v>
      </c>
      <c r="B71">
        <v>1</v>
      </c>
      <c r="C71" s="20">
        <v>3.3333333333333333E-2</v>
      </c>
    </row>
    <row r="72" spans="1:3" x14ac:dyDescent="0.25">
      <c r="A72" s="18" t="s">
        <v>39</v>
      </c>
      <c r="B72">
        <v>1</v>
      </c>
      <c r="C72" s="20">
        <v>3.3333333333333333E-2</v>
      </c>
    </row>
    <row r="73" spans="1:3" x14ac:dyDescent="0.25">
      <c r="A73" s="17" t="s">
        <v>59</v>
      </c>
      <c r="B73">
        <v>4</v>
      </c>
      <c r="C73" s="20">
        <v>0.13333333333333333</v>
      </c>
    </row>
    <row r="74" spans="1:3" x14ac:dyDescent="0.25">
      <c r="A74" s="18" t="s">
        <v>25</v>
      </c>
      <c r="B74">
        <v>1</v>
      </c>
      <c r="C74" s="20">
        <v>3.3333333333333333E-2</v>
      </c>
    </row>
    <row r="75" spans="1:3" x14ac:dyDescent="0.25">
      <c r="A75" s="18" t="s">
        <v>39</v>
      </c>
      <c r="B75">
        <v>3</v>
      </c>
      <c r="C75" s="20">
        <v>0.1</v>
      </c>
    </row>
    <row r="76" spans="1:3" x14ac:dyDescent="0.25">
      <c r="A76" s="17" t="s">
        <v>55</v>
      </c>
      <c r="B76">
        <v>7</v>
      </c>
      <c r="C76" s="20">
        <v>0.23333333333333334</v>
      </c>
    </row>
    <row r="77" spans="1:3" x14ac:dyDescent="0.25">
      <c r="A77" s="18" t="s">
        <v>25</v>
      </c>
      <c r="B77">
        <v>5</v>
      </c>
      <c r="C77" s="20">
        <v>0.16666666666666666</v>
      </c>
    </row>
    <row r="78" spans="1:3" x14ac:dyDescent="0.25">
      <c r="A78" s="18" t="s">
        <v>39</v>
      </c>
      <c r="B78">
        <v>2</v>
      </c>
      <c r="C78" s="20">
        <v>6.6666666666666666E-2</v>
      </c>
    </row>
    <row r="79" spans="1:3" x14ac:dyDescent="0.25">
      <c r="A79" s="17" t="s">
        <v>75</v>
      </c>
      <c r="B79">
        <v>4</v>
      </c>
      <c r="C79" s="20">
        <v>0.13333333333333333</v>
      </c>
    </row>
    <row r="80" spans="1:3" x14ac:dyDescent="0.25">
      <c r="A80" s="18" t="s">
        <v>25</v>
      </c>
      <c r="B80">
        <v>2</v>
      </c>
      <c r="C80" s="20">
        <v>6.6666666666666666E-2</v>
      </c>
    </row>
    <row r="81" spans="1:9" x14ac:dyDescent="0.25">
      <c r="A81" s="18" t="s">
        <v>39</v>
      </c>
      <c r="B81">
        <v>2</v>
      </c>
      <c r="C81" s="20">
        <v>6.6666666666666666E-2</v>
      </c>
    </row>
    <row r="82" spans="1:9" x14ac:dyDescent="0.25">
      <c r="A82" s="17" t="s">
        <v>46</v>
      </c>
      <c r="B82">
        <v>10</v>
      </c>
      <c r="C82" s="20">
        <v>0.33333333333333331</v>
      </c>
    </row>
    <row r="83" spans="1:9" x14ac:dyDescent="0.25">
      <c r="A83" s="18" t="s">
        <v>25</v>
      </c>
      <c r="B83">
        <v>5</v>
      </c>
      <c r="C83" s="20">
        <v>0.16666666666666666</v>
      </c>
    </row>
    <row r="84" spans="1:9" x14ac:dyDescent="0.25">
      <c r="A84" s="18" t="s">
        <v>39</v>
      </c>
      <c r="B84">
        <v>5</v>
      </c>
      <c r="C84" s="20">
        <v>0.16666666666666666</v>
      </c>
    </row>
    <row r="85" spans="1:9" x14ac:dyDescent="0.25">
      <c r="A85" s="17" t="s">
        <v>33</v>
      </c>
      <c r="B85">
        <v>2</v>
      </c>
      <c r="C85" s="20">
        <v>6.6666666666666666E-2</v>
      </c>
    </row>
    <row r="86" spans="1:9" x14ac:dyDescent="0.25">
      <c r="A86" s="18" t="s">
        <v>25</v>
      </c>
      <c r="B86">
        <v>1</v>
      </c>
      <c r="C86" s="20">
        <v>3.3333333333333333E-2</v>
      </c>
    </row>
    <row r="87" spans="1:9" x14ac:dyDescent="0.25">
      <c r="A87" s="18" t="s">
        <v>39</v>
      </c>
      <c r="B87">
        <v>1</v>
      </c>
      <c r="C87" s="20">
        <v>3.3333333333333333E-2</v>
      </c>
    </row>
    <row r="88" spans="1:9" x14ac:dyDescent="0.25">
      <c r="A88" s="17" t="s">
        <v>57</v>
      </c>
      <c r="B88">
        <v>2</v>
      </c>
      <c r="C88" s="20">
        <v>6.6666666666666666E-2</v>
      </c>
    </row>
    <row r="89" spans="1:9" x14ac:dyDescent="0.25">
      <c r="A89" s="18" t="s">
        <v>25</v>
      </c>
      <c r="B89">
        <v>1</v>
      </c>
      <c r="C89" s="20">
        <v>3.3333333333333333E-2</v>
      </c>
    </row>
    <row r="90" spans="1:9" x14ac:dyDescent="0.25">
      <c r="A90" s="18" t="s">
        <v>39</v>
      </c>
      <c r="B90">
        <v>1</v>
      </c>
      <c r="C90" s="20">
        <v>3.3333333333333333E-2</v>
      </c>
    </row>
    <row r="91" spans="1:9" x14ac:dyDescent="0.25">
      <c r="A91" s="17" t="s">
        <v>104</v>
      </c>
      <c r="B91">
        <v>30</v>
      </c>
      <c r="C91" s="20">
        <v>1</v>
      </c>
    </row>
    <row r="92" spans="1:9" ht="15.75" thickBot="1" x14ac:dyDescent="0.3"/>
    <row r="93" spans="1:9" x14ac:dyDescent="0.25">
      <c r="A93" s="22" t="s">
        <v>12</v>
      </c>
      <c r="B93" s="22"/>
      <c r="D93" s="22" t="s">
        <v>13</v>
      </c>
      <c r="E93" s="22"/>
      <c r="G93" s="22" t="s">
        <v>17</v>
      </c>
      <c r="H93" s="22"/>
      <c r="I93" t="s">
        <v>128</v>
      </c>
    </row>
    <row r="94" spans="1:9" x14ac:dyDescent="0.25">
      <c r="I94">
        <f>COUNTIF(Dataset!R2:R31,"&gt;60")</f>
        <v>7</v>
      </c>
    </row>
    <row r="95" spans="1:9" x14ac:dyDescent="0.25">
      <c r="A95" t="s">
        <v>115</v>
      </c>
      <c r="B95">
        <v>2.9068965517241372</v>
      </c>
      <c r="D95" t="s">
        <v>115</v>
      </c>
      <c r="E95">
        <v>47.4</v>
      </c>
      <c r="G95" t="s">
        <v>115</v>
      </c>
      <c r="H95">
        <v>49.172413793103445</v>
      </c>
    </row>
    <row r="96" spans="1:9" x14ac:dyDescent="0.25">
      <c r="A96" t="s">
        <v>116</v>
      </c>
      <c r="B96">
        <v>0.40214728554719159</v>
      </c>
      <c r="D96" t="s">
        <v>116</v>
      </c>
      <c r="E96">
        <v>9.3590696069666013</v>
      </c>
      <c r="G96" t="s">
        <v>116</v>
      </c>
      <c r="H96">
        <v>3.8920371422993298</v>
      </c>
    </row>
    <row r="97" spans="1:8" x14ac:dyDescent="0.25">
      <c r="A97" t="s">
        <v>117</v>
      </c>
      <c r="B97">
        <v>2.2999999999999998</v>
      </c>
      <c r="D97" t="s">
        <v>117</v>
      </c>
      <c r="E97">
        <v>33</v>
      </c>
      <c r="G97" t="s">
        <v>117</v>
      </c>
      <c r="H97">
        <v>48</v>
      </c>
    </row>
    <row r="98" spans="1:8" x14ac:dyDescent="0.25">
      <c r="A98" t="s">
        <v>118</v>
      </c>
      <c r="B98">
        <v>0.8</v>
      </c>
      <c r="D98" t="s">
        <v>118</v>
      </c>
      <c r="E98">
        <v>33</v>
      </c>
      <c r="G98" t="s">
        <v>118</v>
      </c>
      <c r="H98">
        <v>48</v>
      </c>
    </row>
    <row r="99" spans="1:8" x14ac:dyDescent="0.25">
      <c r="A99" t="s">
        <v>119</v>
      </c>
      <c r="B99">
        <v>2.1656294094134063</v>
      </c>
      <c r="D99" t="s">
        <v>119</v>
      </c>
      <c r="E99">
        <v>51.261735409966171</v>
      </c>
      <c r="G99" t="s">
        <v>119</v>
      </c>
      <c r="H99">
        <v>20.959261446770697</v>
      </c>
    </row>
    <row r="100" spans="1:8" x14ac:dyDescent="0.25">
      <c r="A100" t="s">
        <v>120</v>
      </c>
      <c r="B100">
        <v>4.6899507389162585</v>
      </c>
      <c r="D100" t="s">
        <v>120</v>
      </c>
      <c r="E100">
        <v>2627.7655172413793</v>
      </c>
      <c r="G100" t="s">
        <v>120</v>
      </c>
      <c r="H100">
        <v>439.29064039408848</v>
      </c>
    </row>
    <row r="101" spans="1:8" x14ac:dyDescent="0.25">
      <c r="A101" t="s">
        <v>121</v>
      </c>
      <c r="B101">
        <v>1.0845381581762337</v>
      </c>
      <c r="D101" t="s">
        <v>121</v>
      </c>
      <c r="E101">
        <v>19.852513159864809</v>
      </c>
      <c r="G101" t="s">
        <v>121</v>
      </c>
      <c r="H101">
        <v>-0.38569516156894368</v>
      </c>
    </row>
    <row r="102" spans="1:8" x14ac:dyDescent="0.25">
      <c r="A102" t="s">
        <v>122</v>
      </c>
      <c r="B102">
        <v>1.3256677015742819</v>
      </c>
      <c r="D102" t="s">
        <v>122</v>
      </c>
      <c r="E102">
        <v>4.17026851720248</v>
      </c>
      <c r="G102" t="s">
        <v>122</v>
      </c>
      <c r="H102">
        <v>0.39732425919539593</v>
      </c>
    </row>
    <row r="103" spans="1:8" x14ac:dyDescent="0.25">
      <c r="A103" t="s">
        <v>123</v>
      </c>
      <c r="B103">
        <v>7.3999999999999995</v>
      </c>
      <c r="D103" t="s">
        <v>123</v>
      </c>
      <c r="E103">
        <v>278</v>
      </c>
      <c r="G103" t="s">
        <v>123</v>
      </c>
      <c r="H103">
        <v>82</v>
      </c>
    </row>
    <row r="104" spans="1:8" x14ac:dyDescent="0.25">
      <c r="A104" t="s">
        <v>124</v>
      </c>
      <c r="B104">
        <v>0.8</v>
      </c>
      <c r="D104" t="s">
        <v>124</v>
      </c>
      <c r="E104">
        <v>17</v>
      </c>
      <c r="G104" t="s">
        <v>124</v>
      </c>
      <c r="H104">
        <v>17</v>
      </c>
    </row>
    <row r="105" spans="1:8" x14ac:dyDescent="0.25">
      <c r="A105" t="s">
        <v>125</v>
      </c>
      <c r="B105">
        <v>8.1999999999999993</v>
      </c>
      <c r="D105" t="s">
        <v>125</v>
      </c>
      <c r="E105">
        <v>295</v>
      </c>
      <c r="G105" t="s">
        <v>125</v>
      </c>
      <c r="H105">
        <v>99</v>
      </c>
    </row>
    <row r="106" spans="1:8" x14ac:dyDescent="0.25">
      <c r="A106" t="s">
        <v>126</v>
      </c>
      <c r="B106">
        <v>84.299999999999983</v>
      </c>
      <c r="D106" t="s">
        <v>126</v>
      </c>
      <c r="E106">
        <v>1422</v>
      </c>
      <c r="G106" t="s">
        <v>126</v>
      </c>
      <c r="H106">
        <v>1426</v>
      </c>
    </row>
    <row r="107" spans="1:8" ht="15.75" thickBot="1" x14ac:dyDescent="0.3">
      <c r="A107" s="21" t="s">
        <v>127</v>
      </c>
      <c r="B107" s="21">
        <v>29</v>
      </c>
      <c r="D107" s="21" t="s">
        <v>127</v>
      </c>
      <c r="E107" s="21">
        <v>30</v>
      </c>
      <c r="G107" s="21" t="s">
        <v>127</v>
      </c>
      <c r="H107" s="21">
        <v>29</v>
      </c>
    </row>
    <row r="109" spans="1:8" x14ac:dyDescent="0.25">
      <c r="A109" s="16" t="s">
        <v>136</v>
      </c>
      <c r="B109" t="s">
        <v>137</v>
      </c>
      <c r="C109" t="s">
        <v>135</v>
      </c>
    </row>
    <row r="110" spans="1:8" x14ac:dyDescent="0.25">
      <c r="A110" s="17" t="s">
        <v>114</v>
      </c>
      <c r="B110" s="23">
        <v>1</v>
      </c>
      <c r="C110" s="24">
        <v>3</v>
      </c>
    </row>
    <row r="111" spans="1:8" x14ac:dyDescent="0.25">
      <c r="A111" s="17" t="s">
        <v>129</v>
      </c>
      <c r="B111" s="23">
        <v>7</v>
      </c>
      <c r="C111" s="24">
        <v>3.1428571428571428</v>
      </c>
    </row>
    <row r="112" spans="1:8" x14ac:dyDescent="0.25">
      <c r="A112" s="17" t="s">
        <v>130</v>
      </c>
      <c r="B112" s="23">
        <v>6</v>
      </c>
      <c r="C112" s="24">
        <v>3.3333333333333335</v>
      </c>
    </row>
    <row r="113" spans="1:4" x14ac:dyDescent="0.25">
      <c r="A113" s="17" t="s">
        <v>131</v>
      </c>
      <c r="B113" s="23">
        <v>9</v>
      </c>
      <c r="C113" s="24">
        <v>3.2222222222222223</v>
      </c>
    </row>
    <row r="114" spans="1:4" x14ac:dyDescent="0.25">
      <c r="A114" s="17" t="s">
        <v>132</v>
      </c>
      <c r="B114" s="23">
        <v>5</v>
      </c>
      <c r="C114" s="24">
        <v>2.6</v>
      </c>
    </row>
    <row r="115" spans="1:4" x14ac:dyDescent="0.25">
      <c r="A115" s="17" t="s">
        <v>133</v>
      </c>
      <c r="B115" s="23">
        <v>1</v>
      </c>
      <c r="C115" s="24">
        <v>3</v>
      </c>
    </row>
    <row r="116" spans="1:4" x14ac:dyDescent="0.25">
      <c r="A116" s="17" t="s">
        <v>134</v>
      </c>
      <c r="B116" s="23">
        <v>1</v>
      </c>
      <c r="C116" s="24">
        <v>4</v>
      </c>
    </row>
    <row r="117" spans="1:4" x14ac:dyDescent="0.25">
      <c r="A117" s="17" t="s">
        <v>104</v>
      </c>
      <c r="B117" s="23">
        <v>30</v>
      </c>
      <c r="C117" s="24">
        <v>3.1333333333333333</v>
      </c>
    </row>
    <row r="119" spans="1:4" x14ac:dyDescent="0.25">
      <c r="A119" s="16" t="s">
        <v>138</v>
      </c>
      <c r="B119" t="s">
        <v>103</v>
      </c>
      <c r="C119" t="s">
        <v>111</v>
      </c>
      <c r="D119" t="s">
        <v>135</v>
      </c>
    </row>
    <row r="120" spans="1:4" x14ac:dyDescent="0.25">
      <c r="A120" s="17" t="s">
        <v>48</v>
      </c>
      <c r="B120">
        <v>8</v>
      </c>
      <c r="C120" s="20">
        <v>0.26666666666666666</v>
      </c>
      <c r="D120" s="24">
        <v>2.25</v>
      </c>
    </row>
    <row r="121" spans="1:4" x14ac:dyDescent="0.25">
      <c r="A121" s="18" t="s">
        <v>25</v>
      </c>
      <c r="B121">
        <v>4</v>
      </c>
      <c r="C121" s="20">
        <v>0.13333333333333333</v>
      </c>
      <c r="D121" s="24">
        <v>2.5</v>
      </c>
    </row>
    <row r="122" spans="1:4" x14ac:dyDescent="0.25">
      <c r="A122" s="19" t="s">
        <v>36</v>
      </c>
      <c r="B122">
        <v>3</v>
      </c>
      <c r="C122" s="20">
        <v>0.1</v>
      </c>
      <c r="D122" s="24">
        <v>2.3333333333333335</v>
      </c>
    </row>
    <row r="123" spans="1:4" x14ac:dyDescent="0.25">
      <c r="A123" s="19" t="s">
        <v>30</v>
      </c>
      <c r="B123">
        <v>1</v>
      </c>
      <c r="C123" s="20">
        <v>3.3333333333333333E-2</v>
      </c>
      <c r="D123" s="24">
        <v>3</v>
      </c>
    </row>
    <row r="124" spans="1:4" x14ac:dyDescent="0.25">
      <c r="A124" s="18" t="s">
        <v>39</v>
      </c>
      <c r="B124">
        <v>4</v>
      </c>
      <c r="C124" s="20">
        <v>0.13333333333333333</v>
      </c>
      <c r="D124" s="24">
        <v>2</v>
      </c>
    </row>
    <row r="125" spans="1:4" x14ac:dyDescent="0.25">
      <c r="A125" s="19" t="s">
        <v>30</v>
      </c>
      <c r="B125">
        <v>2</v>
      </c>
      <c r="C125" s="20">
        <v>6.6666666666666666E-2</v>
      </c>
      <c r="D125" s="24">
        <v>2.5</v>
      </c>
    </row>
    <row r="126" spans="1:4" x14ac:dyDescent="0.25">
      <c r="A126" s="19" t="s">
        <v>43</v>
      </c>
      <c r="B126">
        <v>2</v>
      </c>
      <c r="C126" s="20">
        <v>6.6666666666666666E-2</v>
      </c>
      <c r="D126" s="24">
        <v>1.5</v>
      </c>
    </row>
    <row r="127" spans="1:4" x14ac:dyDescent="0.25">
      <c r="A127" s="17" t="s">
        <v>35</v>
      </c>
      <c r="B127">
        <v>12</v>
      </c>
      <c r="C127" s="20">
        <v>0.4</v>
      </c>
      <c r="D127" s="24">
        <v>2.9166666666666665</v>
      </c>
    </row>
    <row r="128" spans="1:4" x14ac:dyDescent="0.25">
      <c r="A128" s="18" t="s">
        <v>25</v>
      </c>
      <c r="B128">
        <v>6</v>
      </c>
      <c r="C128" s="20">
        <v>0.2</v>
      </c>
      <c r="D128" s="24">
        <v>2.6666666666666665</v>
      </c>
    </row>
    <row r="129" spans="1:4" x14ac:dyDescent="0.25">
      <c r="A129" s="19" t="s">
        <v>36</v>
      </c>
      <c r="B129">
        <v>2</v>
      </c>
      <c r="C129" s="20">
        <v>6.6666666666666666E-2</v>
      </c>
      <c r="D129" s="24">
        <v>3</v>
      </c>
    </row>
    <row r="130" spans="1:4" x14ac:dyDescent="0.25">
      <c r="A130" s="19" t="s">
        <v>43</v>
      </c>
      <c r="B130">
        <v>4</v>
      </c>
      <c r="C130" s="20">
        <v>0.13333333333333333</v>
      </c>
      <c r="D130" s="24">
        <v>2.5</v>
      </c>
    </row>
    <row r="131" spans="1:4" x14ac:dyDescent="0.25">
      <c r="A131" s="18" t="s">
        <v>39</v>
      </c>
      <c r="B131">
        <v>6</v>
      </c>
      <c r="C131" s="20">
        <v>0.2</v>
      </c>
      <c r="D131" s="24">
        <v>3.1666666666666665</v>
      </c>
    </row>
    <row r="132" spans="1:4" x14ac:dyDescent="0.25">
      <c r="A132" s="19" t="s">
        <v>36</v>
      </c>
      <c r="B132">
        <v>3</v>
      </c>
      <c r="C132" s="20">
        <v>0.1</v>
      </c>
      <c r="D132" s="24">
        <v>3</v>
      </c>
    </row>
    <row r="133" spans="1:4" x14ac:dyDescent="0.25">
      <c r="A133" s="19" t="s">
        <v>43</v>
      </c>
      <c r="B133">
        <v>3</v>
      </c>
      <c r="C133" s="20">
        <v>0.1</v>
      </c>
      <c r="D133" s="24">
        <v>3.3333333333333335</v>
      </c>
    </row>
    <row r="134" spans="1:4" x14ac:dyDescent="0.25">
      <c r="A134" s="17" t="s">
        <v>60</v>
      </c>
      <c r="B134">
        <v>7</v>
      </c>
      <c r="C134" s="20">
        <v>0.23333333333333334</v>
      </c>
      <c r="D134" s="24">
        <v>4</v>
      </c>
    </row>
    <row r="135" spans="1:4" x14ac:dyDescent="0.25">
      <c r="A135" s="18" t="s">
        <v>25</v>
      </c>
      <c r="B135">
        <v>3</v>
      </c>
      <c r="C135" s="20">
        <v>0.1</v>
      </c>
      <c r="D135" s="24">
        <v>4</v>
      </c>
    </row>
    <row r="136" spans="1:4" x14ac:dyDescent="0.25">
      <c r="A136" s="19" t="s">
        <v>36</v>
      </c>
      <c r="B136">
        <v>1</v>
      </c>
      <c r="C136" s="20">
        <v>3.3333333333333333E-2</v>
      </c>
      <c r="D136" s="24">
        <v>4</v>
      </c>
    </row>
    <row r="137" spans="1:4" x14ac:dyDescent="0.25">
      <c r="A137" s="19" t="s">
        <v>43</v>
      </c>
      <c r="B137">
        <v>2</v>
      </c>
      <c r="C137" s="20">
        <v>6.6666666666666666E-2</v>
      </c>
      <c r="D137" s="24">
        <v>4</v>
      </c>
    </row>
    <row r="138" spans="1:4" x14ac:dyDescent="0.25">
      <c r="A138" s="18" t="s">
        <v>39</v>
      </c>
      <c r="B138">
        <v>4</v>
      </c>
      <c r="C138" s="20">
        <v>0.13333333333333333</v>
      </c>
      <c r="D138" s="24">
        <v>4</v>
      </c>
    </row>
    <row r="139" spans="1:4" x14ac:dyDescent="0.25">
      <c r="A139" s="19" t="s">
        <v>43</v>
      </c>
      <c r="B139">
        <v>4</v>
      </c>
      <c r="C139" s="20">
        <v>0.13333333333333333</v>
      </c>
      <c r="D139" s="24">
        <v>4</v>
      </c>
    </row>
    <row r="140" spans="1:4" x14ac:dyDescent="0.25">
      <c r="A140" s="17" t="s">
        <v>68</v>
      </c>
      <c r="B140">
        <v>3</v>
      </c>
      <c r="C140" s="20">
        <v>0.1</v>
      </c>
      <c r="D140" s="24">
        <v>4.333333333333333</v>
      </c>
    </row>
    <row r="141" spans="1:4" x14ac:dyDescent="0.25">
      <c r="A141" s="18" t="s">
        <v>25</v>
      </c>
      <c r="B141">
        <v>2</v>
      </c>
      <c r="C141" s="20">
        <v>6.6666666666666666E-2</v>
      </c>
      <c r="D141" s="24">
        <v>4.5</v>
      </c>
    </row>
    <row r="142" spans="1:4" x14ac:dyDescent="0.25">
      <c r="A142" s="19" t="s">
        <v>43</v>
      </c>
      <c r="B142">
        <v>2</v>
      </c>
      <c r="C142" s="20">
        <v>6.6666666666666666E-2</v>
      </c>
      <c r="D142" s="24">
        <v>4.5</v>
      </c>
    </row>
    <row r="143" spans="1:4" x14ac:dyDescent="0.25">
      <c r="A143" s="18" t="s">
        <v>39</v>
      </c>
      <c r="B143">
        <v>1</v>
      </c>
      <c r="C143" s="20">
        <v>3.3333333333333333E-2</v>
      </c>
      <c r="D143" s="24">
        <v>4</v>
      </c>
    </row>
    <row r="144" spans="1:4" x14ac:dyDescent="0.25">
      <c r="A144" s="19" t="s">
        <v>43</v>
      </c>
      <c r="B144">
        <v>1</v>
      </c>
      <c r="C144" s="20">
        <v>3.3333333333333333E-2</v>
      </c>
      <c r="D144" s="24">
        <v>4</v>
      </c>
    </row>
    <row r="145" spans="1:4" x14ac:dyDescent="0.25">
      <c r="A145" s="17" t="s">
        <v>104</v>
      </c>
      <c r="B145">
        <v>30</v>
      </c>
      <c r="C145" s="20">
        <v>1</v>
      </c>
      <c r="D145" s="24">
        <v>3.1333333333333333</v>
      </c>
    </row>
    <row r="148" spans="1:4" x14ac:dyDescent="0.25">
      <c r="A148" s="16" t="s">
        <v>139</v>
      </c>
      <c r="B148" t="s">
        <v>103</v>
      </c>
      <c r="C148" t="s">
        <v>111</v>
      </c>
    </row>
    <row r="149" spans="1:4" x14ac:dyDescent="0.25">
      <c r="A149" s="17" t="s">
        <v>63</v>
      </c>
      <c r="B149">
        <v>6</v>
      </c>
      <c r="C149" s="20">
        <v>0.2</v>
      </c>
    </row>
    <row r="150" spans="1:4" x14ac:dyDescent="0.25">
      <c r="A150" s="18" t="s">
        <v>25</v>
      </c>
      <c r="B150">
        <v>4</v>
      </c>
      <c r="C150" s="20">
        <v>0.13333333333333333</v>
      </c>
    </row>
    <row r="151" spans="1:4" x14ac:dyDescent="0.25">
      <c r="A151" s="18" t="s">
        <v>39</v>
      </c>
      <c r="B151">
        <v>2</v>
      </c>
      <c r="C151" s="20">
        <v>6.6666666666666666E-2</v>
      </c>
    </row>
    <row r="152" spans="1:4" x14ac:dyDescent="0.25">
      <c r="A152" s="17" t="s">
        <v>61</v>
      </c>
      <c r="B152">
        <v>6</v>
      </c>
      <c r="C152" s="20">
        <v>0.2</v>
      </c>
    </row>
    <row r="153" spans="1:4" x14ac:dyDescent="0.25">
      <c r="A153" s="18" t="s">
        <v>25</v>
      </c>
      <c r="B153">
        <v>1</v>
      </c>
      <c r="C153" s="20">
        <v>3.3333333333333333E-2</v>
      </c>
    </row>
    <row r="154" spans="1:4" x14ac:dyDescent="0.25">
      <c r="A154" s="18" t="s">
        <v>39</v>
      </c>
      <c r="B154">
        <v>5</v>
      </c>
      <c r="C154" s="20">
        <v>0.16666666666666666</v>
      </c>
    </row>
    <row r="155" spans="1:4" x14ac:dyDescent="0.25">
      <c r="A155" s="17" t="s">
        <v>37</v>
      </c>
      <c r="B155">
        <v>6</v>
      </c>
      <c r="C155" s="20">
        <v>0.2</v>
      </c>
    </row>
    <row r="156" spans="1:4" x14ac:dyDescent="0.25">
      <c r="A156" s="18" t="s">
        <v>25</v>
      </c>
      <c r="B156">
        <v>3</v>
      </c>
      <c r="C156" s="20">
        <v>0.1</v>
      </c>
    </row>
    <row r="157" spans="1:4" x14ac:dyDescent="0.25">
      <c r="A157" s="18" t="s">
        <v>39</v>
      </c>
      <c r="B157">
        <v>3</v>
      </c>
      <c r="C157" s="20">
        <v>0.1</v>
      </c>
    </row>
    <row r="158" spans="1:4" x14ac:dyDescent="0.25">
      <c r="A158" s="17" t="s">
        <v>78</v>
      </c>
      <c r="B158">
        <v>1</v>
      </c>
      <c r="C158" s="20">
        <v>3.3333333333333333E-2</v>
      </c>
    </row>
    <row r="159" spans="1:4" x14ac:dyDescent="0.25">
      <c r="A159" s="18" t="s">
        <v>39</v>
      </c>
      <c r="B159">
        <v>1</v>
      </c>
      <c r="C159" s="20">
        <v>3.3333333333333333E-2</v>
      </c>
    </row>
    <row r="160" spans="1:4" x14ac:dyDescent="0.25">
      <c r="A160" s="17" t="s">
        <v>49</v>
      </c>
      <c r="B160">
        <v>10</v>
      </c>
      <c r="C160" s="20">
        <v>0.33333333333333331</v>
      </c>
    </row>
    <row r="161" spans="1:3" x14ac:dyDescent="0.25">
      <c r="A161" s="18" t="s">
        <v>25</v>
      </c>
      <c r="B161">
        <v>7</v>
      </c>
      <c r="C161" s="20">
        <v>0.23333333333333334</v>
      </c>
    </row>
    <row r="162" spans="1:3" x14ac:dyDescent="0.25">
      <c r="A162" s="18" t="s">
        <v>39</v>
      </c>
      <c r="B162">
        <v>3</v>
      </c>
      <c r="C162" s="20">
        <v>0.1</v>
      </c>
    </row>
    <row r="163" spans="1:3" x14ac:dyDescent="0.25">
      <c r="A163" s="17" t="s">
        <v>114</v>
      </c>
      <c r="B163">
        <v>1</v>
      </c>
      <c r="C163" s="20">
        <v>3.3333333333333333E-2</v>
      </c>
    </row>
    <row r="164" spans="1:3" x14ac:dyDescent="0.25">
      <c r="A164" s="18" t="s">
        <v>39</v>
      </c>
      <c r="B164">
        <v>1</v>
      </c>
      <c r="C164" s="20">
        <v>3.3333333333333333E-2</v>
      </c>
    </row>
    <row r="165" spans="1:3" x14ac:dyDescent="0.25">
      <c r="A165" s="17" t="s">
        <v>104</v>
      </c>
      <c r="B165">
        <v>30</v>
      </c>
      <c r="C165" s="20">
        <v>1</v>
      </c>
    </row>
    <row r="167" spans="1:3" x14ac:dyDescent="0.25">
      <c r="A167" s="16" t="s">
        <v>140</v>
      </c>
      <c r="B167" t="s">
        <v>103</v>
      </c>
      <c r="C167" t="s">
        <v>111</v>
      </c>
    </row>
    <row r="168" spans="1:3" x14ac:dyDescent="0.25">
      <c r="A168" s="17" t="s">
        <v>66</v>
      </c>
      <c r="B168">
        <v>4</v>
      </c>
      <c r="C168" s="20">
        <v>0.13333333333333333</v>
      </c>
    </row>
    <row r="169" spans="1:3" x14ac:dyDescent="0.25">
      <c r="A169" s="18" t="s">
        <v>30</v>
      </c>
      <c r="B169">
        <v>4</v>
      </c>
      <c r="C169" s="20">
        <v>0.13333333333333333</v>
      </c>
    </row>
    <row r="170" spans="1:3" x14ac:dyDescent="0.25">
      <c r="A170" s="19" t="s">
        <v>25</v>
      </c>
      <c r="B170">
        <v>2</v>
      </c>
      <c r="C170" s="20">
        <v>6.6666666666666666E-2</v>
      </c>
    </row>
    <row r="171" spans="1:3" x14ac:dyDescent="0.25">
      <c r="A171" s="19" t="s">
        <v>39</v>
      </c>
      <c r="B171">
        <v>2</v>
      </c>
      <c r="C171" s="20">
        <v>6.6666666666666666E-2</v>
      </c>
    </row>
    <row r="172" spans="1:3" x14ac:dyDescent="0.25">
      <c r="A172" s="17" t="s">
        <v>34</v>
      </c>
      <c r="B172">
        <v>23</v>
      </c>
      <c r="C172" s="20">
        <v>0.76666666666666672</v>
      </c>
    </row>
    <row r="173" spans="1:3" x14ac:dyDescent="0.25">
      <c r="A173" s="18" t="s">
        <v>30</v>
      </c>
      <c r="B173">
        <v>21</v>
      </c>
      <c r="C173" s="20">
        <v>0.7</v>
      </c>
    </row>
    <row r="174" spans="1:3" x14ac:dyDescent="0.25">
      <c r="A174" s="19" t="s">
        <v>25</v>
      </c>
      <c r="B174">
        <v>11</v>
      </c>
      <c r="C174" s="20">
        <v>0.36666666666666664</v>
      </c>
    </row>
    <row r="175" spans="1:3" x14ac:dyDescent="0.25">
      <c r="A175" s="19" t="s">
        <v>39</v>
      </c>
      <c r="B175">
        <v>10</v>
      </c>
      <c r="C175" s="20">
        <v>0.33333333333333331</v>
      </c>
    </row>
    <row r="176" spans="1:3" x14ac:dyDescent="0.25">
      <c r="A176" s="18" t="s">
        <v>43</v>
      </c>
      <c r="B176">
        <v>2</v>
      </c>
      <c r="C176" s="20">
        <v>6.6666666666666666E-2</v>
      </c>
    </row>
    <row r="177" spans="1:3" x14ac:dyDescent="0.25">
      <c r="A177" s="19" t="s">
        <v>25</v>
      </c>
      <c r="B177">
        <v>1</v>
      </c>
      <c r="C177" s="20">
        <v>3.3333333333333333E-2</v>
      </c>
    </row>
    <row r="178" spans="1:3" x14ac:dyDescent="0.25">
      <c r="A178" s="19" t="s">
        <v>39</v>
      </c>
      <c r="B178">
        <v>1</v>
      </c>
      <c r="C178" s="20">
        <v>3.3333333333333333E-2</v>
      </c>
    </row>
    <row r="179" spans="1:3" x14ac:dyDescent="0.25">
      <c r="A179" s="17" t="s">
        <v>47</v>
      </c>
      <c r="B179">
        <v>2</v>
      </c>
      <c r="C179" s="20">
        <v>6.6666666666666666E-2</v>
      </c>
    </row>
    <row r="180" spans="1:3" x14ac:dyDescent="0.25">
      <c r="A180" s="18" t="s">
        <v>30</v>
      </c>
      <c r="B180">
        <v>2</v>
      </c>
      <c r="C180" s="20">
        <v>6.6666666666666666E-2</v>
      </c>
    </row>
    <row r="181" spans="1:3" x14ac:dyDescent="0.25">
      <c r="A181" s="19" t="s">
        <v>39</v>
      </c>
      <c r="B181">
        <v>2</v>
      </c>
      <c r="C181" s="20">
        <v>6.6666666666666666E-2</v>
      </c>
    </row>
    <row r="182" spans="1:3" x14ac:dyDescent="0.25">
      <c r="A182" s="17" t="s">
        <v>114</v>
      </c>
      <c r="B182">
        <v>1</v>
      </c>
      <c r="C182" s="20">
        <v>3.3333333333333333E-2</v>
      </c>
    </row>
    <row r="183" spans="1:3" x14ac:dyDescent="0.25">
      <c r="A183" s="18" t="s">
        <v>30</v>
      </c>
      <c r="B183">
        <v>1</v>
      </c>
      <c r="C183" s="20">
        <v>3.3333333333333333E-2</v>
      </c>
    </row>
    <row r="184" spans="1:3" x14ac:dyDescent="0.25">
      <c r="A184" s="19" t="s">
        <v>25</v>
      </c>
      <c r="B184">
        <v>1</v>
      </c>
      <c r="C184" s="20">
        <v>3.3333333333333333E-2</v>
      </c>
    </row>
    <row r="185" spans="1:3" x14ac:dyDescent="0.25">
      <c r="A185" s="17" t="s">
        <v>104</v>
      </c>
      <c r="B185">
        <v>30</v>
      </c>
      <c r="C185" s="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Imaledo</dc:creator>
  <cp:lastModifiedBy>Sharon Imaledo</cp:lastModifiedBy>
  <dcterms:created xsi:type="dcterms:W3CDTF">2026-10-14T09:07:53Z</dcterms:created>
  <dcterms:modified xsi:type="dcterms:W3CDTF">2026-10-20T15:07:02Z</dcterms:modified>
</cp:coreProperties>
</file>