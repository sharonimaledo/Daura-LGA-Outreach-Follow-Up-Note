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6BF35B-1B40-4D8E-B850-871326E93CBD}" xr6:coauthVersionLast="47" xr6:coauthVersionMax="47" xr10:uidLastSave="{00000000-0000-0000-0000-000000000000}"/>
  <bookViews>
    <workbookView xWindow="-120" yWindow="-120" windowWidth="20730" windowHeight="11160" activeTab="1" xr2:uid="{624B6AF8-28C2-436E-BAE0-116205A772D1}"/>
  </bookViews>
  <sheets>
    <sheet name="Dataset" sheetId="1" r:id="rId1"/>
    <sheet name="Pivot Tables" sheetId="3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<sst xmlns="http://schemas.openxmlformats.org/spreadsheetml/2006/main" count="66" uniqueCount="42">
  <si>
    <t>Staff_ID</t>
  </si>
  <si>
    <t>Outreach_Date</t>
  </si>
  <si>
    <t>State</t>
  </si>
  <si>
    <t>LGA</t>
  </si>
  <si>
    <t>Community</t>
  </si>
  <si>
    <t>Role</t>
  </si>
  <si>
    <t>Days_Deployed</t>
  </si>
  <si>
    <t>Staffing_Adequacy_1_to_5</t>
  </si>
  <si>
    <t>Supplies_Adequacy_1_to_5</t>
  </si>
  <si>
    <t>Community_Mobilization_1_to_5</t>
  </si>
  <si>
    <t>Data_Collection_Difficulty_1_to_5</t>
  </si>
  <si>
    <t>Main_Operational_Challenge</t>
  </si>
  <si>
    <t>Average_Daily_Beneficiaries</t>
  </si>
  <si>
    <t>Would_Change_Something_Next_Time</t>
  </si>
  <si>
    <t>Priority_Improvement</t>
  </si>
  <si>
    <t>Confidence_in_Data_Completeness_1_to_5</t>
  </si>
  <si>
    <t>Comments</t>
  </si>
  <si>
    <t>STF-030</t>
  </si>
  <si>
    <t>Katsina</t>
  </si>
  <si>
    <t>Daura</t>
  </si>
  <si>
    <t>Kusugu</t>
  </si>
  <si>
    <t>Vaccinator</t>
  </si>
  <si>
    <t>No major challenge</t>
  </si>
  <si>
    <t>No</t>
  </si>
  <si>
    <t>More supplies</t>
  </si>
  <si>
    <t>fine overall</t>
  </si>
  <si>
    <t>STF-034</t>
  </si>
  <si>
    <t>Community Mobilizer</t>
  </si>
  <si>
    <t>Transport/logistics</t>
  </si>
  <si>
    <t>Earlier community mobilization</t>
  </si>
  <si>
    <t>heat was a problem</t>
  </si>
  <si>
    <t>STF-035</t>
  </si>
  <si>
    <t>CHW</t>
  </si>
  <si>
    <t>Yes</t>
  </si>
  <si>
    <t>vehicle arrived late</t>
  </si>
  <si>
    <t>Grand Total</t>
  </si>
  <si>
    <t>Community mobilization</t>
  </si>
  <si>
    <t>Frequency</t>
  </si>
  <si>
    <t>Percentage</t>
  </si>
  <si>
    <t>Operational Challenge</t>
  </si>
  <si>
    <t>Priority Improvement</t>
  </si>
  <si>
    <t>Would you change soemthing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</si>
</sst>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1" fontId="0" fillId="3" borderId="2" xfId="0" applyNumberFormat="1" applyFill="1" applyBorder="1"/>
    <xf numFmtId="3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3" fontId="0" fillId="0" borderId="2" xfId="0" applyNumberFormat="1" applyBorder="1"/>
    <xf numFmtId="0" fontId="0" fillId="0" borderId="3" xfId="0" applyBorder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9.903160648151" createdVersion="8" refreshedVersion="8" minRefreshableVersion="3" recordCount="3" xr:uid="{B411C78B-A34E-4F43-8A07-16ABCD73A1AB}">
  <cacheSource type="worksheet">
    <worksheetSource ref="A1:Q4" sheet="Dataset"/>
  </cacheSource>
  <cacheFields count="17">
    <cacheField name="Staff_ID" numFmtId="0">
      <sharedItems/>
    </cacheField>
    <cacheField name="Outreach_Date" numFmtId="164">
      <sharedItems containsSemiMixedTypes="0" containsNonDate="0" containsDate="1" containsString="0" minDate="2026-05-13T00:00:00" maxDate="2026-05-14T00:00:00"/>
    </cacheField>
    <cacheField name="State" numFmtId="0">
      <sharedItems/>
    </cacheField>
    <cacheField name="LGA" numFmtId="0">
      <sharedItems/>
    </cacheField>
    <cacheField name="Community" numFmtId="0">
      <sharedItems count="1">
        <s v="Kusugu"/>
      </sharedItems>
    </cacheField>
    <cacheField name="Role" numFmtId="0">
      <sharedItems/>
    </cacheField>
    <cacheField name="Days_Deployed" numFmtId="1">
      <sharedItems containsString="0" containsBlank="1" containsNumber="1" containsInteger="1" minValue="5" maxValue="7"/>
    </cacheField>
    <cacheField name="Staffing_Adequacy_1_to_5" numFmtId="1">
      <sharedItems containsSemiMixedTypes="0" containsString="0" containsNumber="1" containsInteger="1" minValue="2" maxValue="4"/>
    </cacheField>
    <cacheField name="Supplies_Adequacy_1_to_5" numFmtId="1">
      <sharedItems containsSemiMixedTypes="0" containsString="0" containsNumber="1" containsInteger="1" minValue="3" maxValue="5"/>
    </cacheField>
    <cacheField name="Community_Mobilization_1_to_5" numFmtId="1">
      <sharedItems containsSemiMixedTypes="0" containsString="0" containsNumber="1" containsInteger="1" minValue="1" maxValue="3" count="3">
        <n v="3"/>
        <n v="2"/>
        <n v="1"/>
      </sharedItems>
    </cacheField>
    <cacheField name="Data_Collection_Difficulty_1_to_5" numFmtId="1">
      <sharedItems containsSemiMixedTypes="0" containsString="0" containsNumber="1" containsInteger="1" minValue="2" maxValue="4"/>
    </cacheField>
    <cacheField name="Main_Operational_Challenge" numFmtId="0">
      <sharedItems count="2">
        <s v="No major challenge"/>
        <s v="Transport/logistics"/>
      </sharedItems>
    </cacheField>
    <cacheField name="Average_Daily_Beneficiaries" numFmtId="3">
      <sharedItems containsSemiMixedTypes="0" containsString="0" containsNumber="1" containsInteger="1" minValue="43" maxValue="480"/>
    </cacheField>
    <cacheField name="Would_Change_Something_Next_Time" numFmtId="0">
      <sharedItems count="2">
        <s v="No"/>
        <s v="Yes"/>
      </sharedItems>
    </cacheField>
    <cacheField name="Priority_Improvement" numFmtId="0">
      <sharedItems count="2">
        <s v="More supplies"/>
        <s v="Earlier community mobilization"/>
      </sharedItems>
    </cacheField>
    <cacheField name="Confidence_in_Data_Completeness_1_to_5" numFmtId="1">
      <sharedItems containsString="0" containsBlank="1" containsNumber="1" containsInteger="1" minValue="2" maxValue="5"/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TF-030"/>
    <d v="2026-05-13T00:00:00"/>
    <s v="Katsina"/>
    <s v="Daura"/>
    <x v="0"/>
    <s v="Vaccinator"/>
    <n v="7"/>
    <n v="4"/>
    <n v="3"/>
    <x v="0"/>
    <n v="4"/>
    <x v="0"/>
    <n v="480"/>
    <x v="0"/>
    <x v="0"/>
    <n v="5"/>
    <s v="fine overall"/>
  </r>
  <r>
    <s v="STF-034"/>
    <d v="2026-05-13T00:00:00"/>
    <s v="Katsina"/>
    <s v="Daura"/>
    <x v="0"/>
    <s v="Community Mobilizer"/>
    <m/>
    <n v="2"/>
    <n v="4"/>
    <x v="1"/>
    <n v="2"/>
    <x v="1"/>
    <n v="67"/>
    <x v="0"/>
    <x v="1"/>
    <n v="2"/>
    <s v="heat was a problem"/>
  </r>
  <r>
    <s v="STF-035"/>
    <d v="2026-05-13T00:00:00"/>
    <s v="Katsina"/>
    <s v="Daura"/>
    <x v="0"/>
    <s v="CHW"/>
    <n v="5"/>
    <n v="2"/>
    <n v="5"/>
    <x v="2"/>
    <n v="3"/>
    <x v="1"/>
    <n v="43"/>
    <x v="1"/>
    <x v="0"/>
    <m/>
    <s v="vehicle arrived l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AC5F0-880C-4C6A-AD2B-511C3569EC55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perational Challenge">
  <location ref="A10:C13" firstHeaderRow="0" firstDataRow="1" firstDataCol="1"/>
  <pivotFields count="17">
    <pivotField dataField="1" showAll="0"/>
    <pivotField numFmtId="164"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numFmtId="1" showAll="0"/>
    <pivotField numFmtId="1" showAll="0"/>
    <pivotField numFmtId="1" showAll="0">
      <items count="4">
        <item x="2"/>
        <item x="1"/>
        <item x="0"/>
        <item t="default"/>
      </items>
    </pivotField>
    <pivotField numFmtId="1" showAll="0"/>
    <pivotField axis="axisRow" showAll="0">
      <items count="3">
        <item x="0"/>
        <item x="1"/>
        <item t="default"/>
      </items>
    </pivotField>
    <pivotField numFmtId="3"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1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2B2F4-48F3-4486-A70C-8A6CE32DC276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munity mobilization">
  <location ref="A3:C7" firstHeaderRow="0" firstDataRow="1" firstDataCol="1"/>
  <pivotFields count="17">
    <pivotField dataField="1" showAll="0"/>
    <pivotField numFmtId="164"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numFmtId="1" showAll="0"/>
    <pivotField numFmtId="1" showAll="0"/>
    <pivotField axis="axisRow" numFmtId="1" showAll="0">
      <items count="4">
        <item x="2"/>
        <item x="1"/>
        <item x="0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9" baseItem="0"/>
    <dataField name="Percentage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01C6E-C09A-43A0-BE3D-EC693DCAF97F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uld you change soemthing">
  <location ref="A22:C25" firstHeaderRow="0" firstDataRow="1" firstDataCol="1"/>
  <pivotFields count="17">
    <pivotField dataField="1" showAll="0"/>
    <pivotField numFmtId="164"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numFmtId="1" showAll="0"/>
    <pivotField numFmtId="1" showAll="0"/>
    <pivotField numFmtId="1" showAll="0">
      <items count="4">
        <item x="2"/>
        <item x="1"/>
        <item x="0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numFmtId="3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3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F42B1-D6FE-4B64-AB3D-BCA8EDB1201C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ority Improvement">
  <location ref="A16:C19" firstHeaderRow="0" firstDataRow="1" firstDataCol="1"/>
  <pivotFields count="17">
    <pivotField dataField="1" showAll="0"/>
    <pivotField numFmtId="164"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numFmtId="1" showAll="0"/>
    <pivotField numFmtId="1" showAll="0"/>
    <pivotField numFmtId="1" showAll="0">
      <items count="4">
        <item x="2"/>
        <item x="1"/>
        <item x="0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numFmtId="3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4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6118-05E0-4A1E-A797-E15ED7C448A9}">
  <dimension ref="A1:Q4"/>
  <sheetViews>
    <sheetView workbookViewId="0">
      <selection activeCell="C10" sqref="C10"/>
    </sheetView>
  </sheetViews>
  <sheetFormatPr defaultRowHeight="15" x14ac:dyDescent="0.25"/>
  <cols>
    <col min="1" max="1" width="8" bestFit="1" customWidth="1"/>
    <col min="2" max="2" width="14.42578125" bestFit="1" customWidth="1"/>
    <col min="3" max="3" width="7.42578125" bestFit="1" customWidth="1"/>
    <col min="4" max="4" width="6.140625" bestFit="1" customWidth="1"/>
    <col min="5" max="5" width="11.28515625" bestFit="1" customWidth="1"/>
    <col min="6" max="6" width="20.42578125" bestFit="1" customWidth="1"/>
    <col min="7" max="7" width="14.85546875" bestFit="1" customWidth="1"/>
    <col min="8" max="8" width="24.85546875" bestFit="1" customWidth="1"/>
    <col min="9" max="9" width="25.7109375" bestFit="1" customWidth="1"/>
    <col min="10" max="10" width="31.140625" bestFit="1" customWidth="1"/>
    <col min="11" max="11" width="31.7109375" bestFit="1" customWidth="1"/>
    <col min="12" max="12" width="27.5703125" bestFit="1" customWidth="1"/>
    <col min="13" max="13" width="26.85546875" bestFit="1" customWidth="1"/>
    <col min="14" max="14" width="36.7109375" bestFit="1" customWidth="1"/>
    <col min="15" max="15" width="29.28515625" bestFit="1" customWidth="1"/>
    <col min="16" max="16" width="40.42578125" bestFit="1" customWidth="1"/>
    <col min="17" max="17" width="18.5703125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25">
      <c r="A2" s="4" t="s">
        <v>17</v>
      </c>
      <c r="B2" s="5">
        <v>46155</v>
      </c>
      <c r="C2" s="6" t="s">
        <v>18</v>
      </c>
      <c r="D2" s="6" t="s">
        <v>19</v>
      </c>
      <c r="E2" s="6" t="s">
        <v>20</v>
      </c>
      <c r="F2" s="6" t="s">
        <v>21</v>
      </c>
      <c r="G2" s="7">
        <v>7</v>
      </c>
      <c r="H2" s="7">
        <v>4</v>
      </c>
      <c r="I2" s="7">
        <v>3</v>
      </c>
      <c r="J2" s="7">
        <v>3</v>
      </c>
      <c r="K2" s="7">
        <v>4</v>
      </c>
      <c r="L2" s="6" t="s">
        <v>22</v>
      </c>
      <c r="M2" s="8">
        <v>480</v>
      </c>
      <c r="N2" s="6" t="s">
        <v>23</v>
      </c>
      <c r="O2" s="6" t="s">
        <v>24</v>
      </c>
      <c r="P2" s="7">
        <v>5</v>
      </c>
      <c r="Q2" s="9" t="s">
        <v>25</v>
      </c>
    </row>
    <row r="3" spans="1:17" x14ac:dyDescent="0.25">
      <c r="A3" s="10" t="s">
        <v>26</v>
      </c>
      <c r="B3" s="11">
        <v>46155</v>
      </c>
      <c r="C3" s="12" t="s">
        <v>18</v>
      </c>
      <c r="D3" s="12" t="s">
        <v>19</v>
      </c>
      <c r="E3" s="12" t="s">
        <v>20</v>
      </c>
      <c r="F3" s="12" t="s">
        <v>27</v>
      </c>
      <c r="G3" s="13"/>
      <c r="H3" s="13">
        <v>2</v>
      </c>
      <c r="I3" s="13">
        <v>4</v>
      </c>
      <c r="J3" s="13">
        <v>2</v>
      </c>
      <c r="K3" s="13">
        <v>2</v>
      </c>
      <c r="L3" s="12" t="s">
        <v>28</v>
      </c>
      <c r="M3" s="14">
        <v>67</v>
      </c>
      <c r="N3" s="12" t="s">
        <v>23</v>
      </c>
      <c r="O3" s="12" t="s">
        <v>29</v>
      </c>
      <c r="P3" s="13">
        <v>2</v>
      </c>
      <c r="Q3" s="15" t="s">
        <v>30</v>
      </c>
    </row>
    <row r="4" spans="1:17" x14ac:dyDescent="0.25">
      <c r="A4" s="4" t="s">
        <v>31</v>
      </c>
      <c r="B4" s="5">
        <v>46155</v>
      </c>
      <c r="C4" s="6" t="s">
        <v>18</v>
      </c>
      <c r="D4" s="6" t="s">
        <v>19</v>
      </c>
      <c r="E4" s="6" t="s">
        <v>20</v>
      </c>
      <c r="F4" s="6" t="s">
        <v>32</v>
      </c>
      <c r="G4" s="7">
        <v>5</v>
      </c>
      <c r="H4" s="7">
        <v>2</v>
      </c>
      <c r="I4" s="7">
        <v>5</v>
      </c>
      <c r="J4" s="7">
        <v>1</v>
      </c>
      <c r="K4" s="7">
        <v>3</v>
      </c>
      <c r="L4" s="6" t="s">
        <v>28</v>
      </c>
      <c r="M4" s="8">
        <v>43</v>
      </c>
      <c r="N4" s="6" t="s">
        <v>33</v>
      </c>
      <c r="O4" s="6" t="s">
        <v>24</v>
      </c>
      <c r="P4" s="7"/>
      <c r="Q4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9E16-51D6-449C-9E28-C00F0CC66949}">
  <dimension ref="A3:C25"/>
  <sheetViews>
    <sheetView tabSelected="1" topLeftCell="A6" workbookViewId="0">
      <selection activeCell="E15" sqref="E1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11" bestFit="1" customWidth="1"/>
  </cols>
  <sheetData>
    <row r="3" spans="1:3" x14ac:dyDescent="0.25">
      <c r="A3" s="16" t="s">
        <v>36</v>
      </c>
      <c r="B3" t="s">
        <v>37</v>
      </c>
      <c r="C3" t="s">
        <v>38</v>
      </c>
    </row>
    <row r="4" spans="1:3" x14ac:dyDescent="0.25">
      <c r="A4" s="17">
        <v>1</v>
      </c>
      <c r="B4">
        <v>1</v>
      </c>
      <c r="C4" s="19">
        <v>0.33333333333333331</v>
      </c>
    </row>
    <row r="5" spans="1:3" x14ac:dyDescent="0.25">
      <c r="A5" s="17">
        <v>2</v>
      </c>
      <c r="B5">
        <v>1</v>
      </c>
      <c r="C5" s="19">
        <v>0.33333333333333331</v>
      </c>
    </row>
    <row r="6" spans="1:3" x14ac:dyDescent="0.25">
      <c r="A6" s="17">
        <v>3</v>
      </c>
      <c r="B6">
        <v>1</v>
      </c>
      <c r="C6" s="19">
        <v>0.33333333333333331</v>
      </c>
    </row>
    <row r="7" spans="1:3" x14ac:dyDescent="0.25">
      <c r="A7" s="17" t="s">
        <v>35</v>
      </c>
      <c r="B7">
        <v>3</v>
      </c>
      <c r="C7" s="19">
        <v>1</v>
      </c>
    </row>
    <row r="10" spans="1:3" x14ac:dyDescent="0.25">
      <c r="A10" s="16" t="s">
        <v>39</v>
      </c>
      <c r="B10" t="s">
        <v>37</v>
      </c>
      <c r="C10" t="s">
        <v>38</v>
      </c>
    </row>
    <row r="11" spans="1:3" x14ac:dyDescent="0.25">
      <c r="A11" s="18" t="s">
        <v>22</v>
      </c>
      <c r="B11">
        <v>1</v>
      </c>
      <c r="C11" s="19">
        <v>0.33333333333333331</v>
      </c>
    </row>
    <row r="12" spans="1:3" x14ac:dyDescent="0.25">
      <c r="A12" s="18" t="s">
        <v>28</v>
      </c>
      <c r="B12">
        <v>2</v>
      </c>
      <c r="C12" s="19">
        <v>0.66666666666666663</v>
      </c>
    </row>
    <row r="13" spans="1:3" x14ac:dyDescent="0.25">
      <c r="A13" s="18" t="s">
        <v>35</v>
      </c>
      <c r="B13">
        <v>3</v>
      </c>
      <c r="C13" s="19">
        <v>1</v>
      </c>
    </row>
    <row r="16" spans="1:3" x14ac:dyDescent="0.25">
      <c r="A16" s="16" t="s">
        <v>40</v>
      </c>
      <c r="B16" t="s">
        <v>37</v>
      </c>
      <c r="C16" t="s">
        <v>38</v>
      </c>
    </row>
    <row r="17" spans="1:3" x14ac:dyDescent="0.25">
      <c r="A17" s="18" t="s">
        <v>29</v>
      </c>
      <c r="B17">
        <v>1</v>
      </c>
      <c r="C17" s="19">
        <v>0.33333333333333331</v>
      </c>
    </row>
    <row r="18" spans="1:3" x14ac:dyDescent="0.25">
      <c r="A18" s="18" t="s">
        <v>24</v>
      </c>
      <c r="B18">
        <v>2</v>
      </c>
      <c r="C18" s="19">
        <v>0.66666666666666663</v>
      </c>
    </row>
    <row r="19" spans="1:3" x14ac:dyDescent="0.25">
      <c r="A19" s="18" t="s">
        <v>35</v>
      </c>
      <c r="B19">
        <v>3</v>
      </c>
      <c r="C19" s="19">
        <v>1</v>
      </c>
    </row>
    <row r="22" spans="1:3" x14ac:dyDescent="0.25">
      <c r="A22" s="16" t="s">
        <v>41</v>
      </c>
      <c r="B22" t="s">
        <v>37</v>
      </c>
      <c r="C22" t="s">
        <v>38</v>
      </c>
    </row>
    <row r="23" spans="1:3" x14ac:dyDescent="0.25">
      <c r="A23" s="18" t="s">
        <v>23</v>
      </c>
      <c r="B23">
        <v>2</v>
      </c>
      <c r="C23" s="19">
        <v>0.66666666666666663</v>
      </c>
    </row>
    <row r="24" spans="1:3" x14ac:dyDescent="0.25">
      <c r="A24" s="18" t="s">
        <v>33</v>
      </c>
      <c r="B24">
        <v>1</v>
      </c>
      <c r="C24" s="19">
        <v>0.33333333333333331</v>
      </c>
    </row>
    <row r="25" spans="1:3" x14ac:dyDescent="0.25">
      <c r="A25" s="18" t="s">
        <v>35</v>
      </c>
      <c r="B25">
        <v>3</v>
      </c>
      <c r="C25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Imaledo</dc:creator>
  <cp:lastModifiedBy>Sharon Imaledo</cp:lastModifiedBy>
  <dcterms:created xsi:type="dcterms:W3CDTF">2026-10-14T09:09:55Z</dcterms:created>
  <dcterms:modified xsi:type="dcterms:W3CDTF">2026-10-20T15:06:19Z</dcterms:modified>
</cp:coreProperties>
</file>